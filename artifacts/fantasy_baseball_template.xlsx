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c4b876bc6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1b3a6dff7844668"/>
    <x:sheet xmlns:r="http://schemas.openxmlformats.org/officeDocument/2006/relationships" name="Settings" sheetId="2" r:id="Rea042caea23a4c85"/>
    <x:sheet xmlns:r="http://schemas.openxmlformats.org/officeDocument/2006/relationships" name="Pick_Scoring" sheetId="3" r:id="Rd002c59b0d114d7e"/>
    <x:sheet xmlns:r="http://schemas.openxmlformats.org/officeDocument/2006/relationships" name="Questions" sheetId="4" r:id="R54ca68227fa646f3"/>
    <x:sheet xmlns:r="http://schemas.openxmlformats.org/officeDocument/2006/relationships" name="Games" sheetId="5" r:id="R6f49cb9334994f48"/>
    <x:sheet xmlns:r="http://schemas.openxmlformats.org/officeDocument/2006/relationships" name="Results" sheetId="6" r:id="R87e0bdbb3d784303"/>
    <x:sheet xmlns:r="http://schemas.openxmlformats.org/officeDocument/2006/relationships" name="Questionnaire_Answers" sheetId="7" r:id="R1330e48599094a5f"/>
    <x:sheet xmlns:r="http://schemas.openxmlformats.org/officeDocument/2006/relationships" name="Player_Stats" sheetId="8" r:id="R7a2fcd785f7f458b"/>
    <x:sheet xmlns:r="http://schemas.openxmlformats.org/officeDocument/2006/relationships" name="Picks" sheetId="9" r:id="R73e636c8e0974ccb"/>
    <x:sheet xmlns:r="http://schemas.openxmlformats.org/officeDocument/2006/relationships" name="Game_Scores" sheetId="10" r:id="Re8a05fff7f8d499b"/>
    <x:sheet xmlns:r="http://schemas.openxmlformats.org/officeDocument/2006/relationships" name="Leaderboard" sheetId="11" r:id="R20e1f1ad7adc437d"/>
    <x:sheet xmlns:r="http://schemas.openxmlformats.org/officeDocument/2006/relationships" name="Import_Placeholder" sheetId="12" r:id="Rfd605e44e98b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"/>
  </x:numFmts>
  <x:fonts count="6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b/>
      <x:sz val="12"/>
      <x:color rgb="001F4E79"/>
    </x:font>
    <x:font>
      <x:i/>
      <x:color rgb="00555555"/>
    </x:font>
    <x:font>
      <x:b/>
      <x:color rgb="00FFFFFF"/>
    </x:font>
    <x:font>
      <x:color rgb="000000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horizontal="left" vertical="top" wrapText="1"/>
    </x:xf>
    <x:xf numFmtId="0" fontId="3" fillId="0" borderId="0" xfId="0" applyAlignment="1">
      <x:alignment horizontal="left" vertical="top" wrapText="1"/>
    </x:xf>
    <x:xf numFmtId="0" fontId="4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5" fillId="0" borderId="1" xfId="0"/>
    <x:xf numFmtId="0" fontId="3" fillId="0" borderId="0" xfId="0"/>
    <x:xf numFmtId="0" fontId="0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left" vertical="top" wrapText="1"/>
    </x:xf>
    <x:xf numFmtId="164" fontId="5" fillId="0" borderId="1" xfId="0" applyAlignment="1">
      <x:alignment horizontal="center" vertical="center" wrapText="1"/>
    </x:xf>
    <x:xf numFmtId="164" fontId="0" fillId="0" borderId="0" xfId="0"/>
    <x:xf numFmtId="165" fontId="0" fillId="0" borderId="1" xfId="0" applyAlignment="1">
      <x:alignment horizontal="center" vertical="center" wrapText="1"/>
    </x:xf>
    <x:xf numFmtId="1" fontId="0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8f2c7da544943" /><Relationship Type="http://schemas.openxmlformats.org/officeDocument/2006/relationships/theme" Target="/xl/theme/theme1.xml" Id="Rdccb191e4889460e" /><Relationship Type="http://schemas.openxmlformats.org/officeDocument/2006/relationships/sharedStrings" Target="/xl/sharedStrings.xml" Id="R3e4613966bdd472e" /><Relationship Type="http://schemas.openxmlformats.org/officeDocument/2006/relationships/worksheet" Target="/xl/worksheets/sheet1.xml" Id="R21b3a6dff7844668" /><Relationship Type="http://schemas.openxmlformats.org/officeDocument/2006/relationships/worksheet" Target="/xl/worksheets/sheet2.xml" Id="Rea042caea23a4c85" /><Relationship Type="http://schemas.openxmlformats.org/officeDocument/2006/relationships/worksheet" Target="/xl/worksheets/sheet3.xml" Id="Rd002c59b0d114d7e" /><Relationship Type="http://schemas.openxmlformats.org/officeDocument/2006/relationships/worksheet" Target="/xl/worksheets/sheet4.xml" Id="R54ca68227fa646f3" /><Relationship Type="http://schemas.openxmlformats.org/officeDocument/2006/relationships/worksheet" Target="/xl/worksheets/sheet5.xml" Id="R6f49cb9334994f48" /><Relationship Type="http://schemas.openxmlformats.org/officeDocument/2006/relationships/worksheet" Target="/xl/worksheets/sheet6.xml" Id="R87e0bdbb3d784303" /><Relationship Type="http://schemas.openxmlformats.org/officeDocument/2006/relationships/worksheet" Target="/xl/worksheets/sheet7.xml" Id="R1330e48599094a5f" /><Relationship Type="http://schemas.openxmlformats.org/officeDocument/2006/relationships/worksheet" Target="/xl/worksheets/sheet8.xml" Id="R7a2fcd785f7f458b" /><Relationship Type="http://schemas.openxmlformats.org/officeDocument/2006/relationships/worksheet" Target="/xl/worksheets/sheet9.xml" Id="R73e636c8e0974ccb" /><Relationship Type="http://schemas.openxmlformats.org/officeDocument/2006/relationships/worksheet" Target="/xl/worksheets/sheet10.xml" Id="Re8a05fff7f8d499b" /><Relationship Type="http://schemas.openxmlformats.org/officeDocument/2006/relationships/worksheet" Target="/xl/worksheets/sheet11.xml" Id="R20e1f1ad7adc437d" /><Relationship Type="http://schemas.openxmlformats.org/officeDocument/2006/relationships/worksheet" Target="/xl/worksheets/sheet12.xml" Id="Rfd605e44e98b498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1" t="inlineStr">
        <x:is>
          <x:t xml:space="preserve">Fantasy Baseball (Team-Based) — Spreadsheet Template</x:t>
        </x:is>
      </x:c>
    </x:row>
    <x:row r="3">
      <x:c r="A3" s="2" t="inlineStr">
        <x:is>
          <x:t xml:space="preserve">How to use</x:t>
        </x:is>
      </x:c>
    </x:row>
    <x:row r="4">
      <x:c r="A4" s="3" t="inlineStr">
        <x:is>
          <x:t xml:space="preserve">1) Go to Settings and choose mode(s): Questionnaire, Picks, or Both. Adjust scoring weights.</x:t>
        </x:is>
      </x:c>
    </x:row>
    <x:row r="5">
      <x:c r="A5" s="3" t="inlineStr">
        <x:is>
          <x:t xml:space="preserve">2) Add games (or series/season rows) in Games.</x:t>
        </x:is>
      </x:c>
    </x:row>
    <x:row r="6">
      <x:c r="A6" s="3" t="inlineStr">
        <x:is>
          <x:t xml:space="preserve">3) For each game, enter your questionnaire answers in Questionnaire_Answers.</x:t>
        </x:is>
      </x:c>
    </x:row>
    <x:row r="7">
      <x:c r="A7" s="3" t="inlineStr">
        <x:is>
          <x:t xml:space="preserve">4) Enter your 6-player picks in Picks.</x:t>
        </x:is>
      </x:c>
    </x:row>
    <x:row r="8">
      <x:c r="A8" s="3" t="inlineStr">
        <x:is>
          <x:t xml:space="preserve">5) Paste actual results (or import) into Results.</x:t>
        </x:is>
      </x:c>
    </x:row>
    <x:row r="9">
      <x:c r="A9" s="3" t="inlineStr">
        <x:is>
          <x:t xml:space="preserve">6) Leaderboard updates automatically.</x:t>
        </x:is>
      </x:c>
    </x:row>
    <x:row r="11">
      <x:c r="A11" s="2" t="inlineStr">
        <x:is>
          <x:t xml:space="preserve">Notes</x:t>
        </x:is>
      </x:c>
    </x:row>
    <x:row r="12">
      <x:c r="A12" s="4" t="inlineStr">
        <x:is>
          <x:t xml:space="preserve">• The template includes a placeholder 'Import' sheet for API pulls. If you later automate, feed Results/Players from your script.</x:t>
        </x:is>
      </x:c>
    </x:row>
    <x:row r="13">
      <x:c r="A13" s="4" t="inlineStr">
        <x:is>
          <x:t xml:space="preserve">• Extra-innings rule: you can enable 'Questionnaire Only If Extra Innings' in Settings.</x:t>
        </x:is>
      </x:c>
    </x:row>
    <x:row r="14">
      <x:c r="A14" s="4" t="inlineStr">
        <x:is>
          <x:t xml:space="preserve">• All blue-text cells are meant for user input.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20" customWidth="1"/>
    <x:col min="3" max="3" width="70" customWidth="1"/>
  </x:cols>
  <x:sheetData>
    <x:row r="1">
      <x:c r="A1" s="1" t="inlineStr">
        <x:is>
          <x:t xml:space="preserve">Settings</x:t>
        </x:is>
      </x:c>
    </x:row>
    <x:row r="3">
      <x:c r="A3" s="2" t="inlineStr">
        <x:is>
          <x:t xml:space="preserve">Game Mode</x:t>
        </x:is>
      </x:c>
    </x:row>
    <x:row r="5" ht="22" customHeight="1">
      <x:c r="A5" s="5" t="inlineStr">
        <x:is>
          <x:t xml:space="preserve">Setting</x:t>
        </x:is>
      </x:c>
      <x:c r="B5" s="5" t="inlineStr">
        <x:is>
          <x:t xml:space="preserve">Value</x:t>
        </x:is>
      </x:c>
      <x:c r="C5" s="5" t="inlineStr">
        <x:is>
          <x:t xml:space="preserve">Description</x:t>
        </x:is>
      </x:c>
    </x:row>
    <x:row r="6">
      <x:c r="A6" s="6" t="inlineStr">
        <x:is>
          <x:t xml:space="preserve">Play Scope</x:t>
        </x:is>
      </x:c>
      <x:c r="B6" s="7" t="inlineStr">
        <x:is>
          <x:t xml:space="preserve">Per Game</x:t>
        </x:is>
      </x:c>
      <x:c r="C6" s="6" t="inlineStr">
        <x:is>
          <x:t xml:space="preserve">Choose: Per Game / Per Series / Per Season</x:t>
        </x:is>
      </x:c>
    </x:row>
    <x:row r="7">
      <x:c r="A7" s="6" t="inlineStr">
        <x:is>
          <x:t xml:space="preserve">Scoring Mode</x:t>
        </x:is>
      </x:c>
      <x:c r="B7" s="7" t="inlineStr">
        <x:is>
          <x:t xml:space="preserve">Both</x:t>
        </x:is>
      </x:c>
      <x:c r="C7" s="6" t="inlineStr">
        <x:is>
          <x:t xml:space="preserve">Choose: Questionnaire / Picks / Both</x:t>
        </x:is>
      </x:c>
    </x:row>
    <x:row r="8">
      <x:c r="A8" s="6" t="inlineStr">
        <x:is>
          <x:t xml:space="preserve">Questionnaire active only if Extra Innings?</x:t>
        </x:is>
      </x:c>
      <x:c r="B8" s="7" t="inlineStr">
        <x:is>
          <x:t xml:space="preserve">No</x:t>
        </x:is>
      </x:c>
      <x:c r="C8" s="6" t="inlineStr">
        <x:is>
          <x:t xml:space="preserve">If Yes, questionnaire points count only when GameExtraInnings=TRUE in Results.</x:t>
        </x:is>
      </x:c>
    </x:row>
    <x:row r="9">
      <x:c r="A9" s="6" t="inlineStr">
        <x:is>
          <x:t xml:space="preserve"># of Picks</x:t>
        </x:is>
      </x:c>
      <x:c r="B9" s="7" t="n">
        <x:v>6</x:v>
      </x:c>
      <x:c r="C9" s="6" t="inlineStr">
        <x:is>
          <x:t xml:space="preserve">How many players are selected per game for stat-driven picks.</x:t>
        </x:is>
      </x:c>
    </x:row>
    <x:row r="10">
      <x:c r="A10" s="6" t="inlineStr">
        <x:is>
          <x:t xml:space="preserve">Max Questionnaire Points</x:t>
        </x:is>
      </x:c>
      <x:c r="B10" s="7" t="n">
        <x:v>20</x:v>
      </x:c>
      <x:c r="C10" s="6" t="inlineStr">
        <x:is>
          <x:t xml:space="preserve">Used for normalization (optional).</x:t>
        </x:is>
      </x:c>
    </x:row>
    <x:row r="12">
      <x:c r="A12" s="2" t="inlineStr">
        <x:is>
          <x:t xml:space="preserve">Scoring Weights</x:t>
        </x:is>
      </x:c>
    </x:row>
    <x:row r="14" ht="22" customHeight="1">
      <x:c r="A14" s="5" t="inlineStr">
        <x:is>
          <x:t xml:space="preserve">Component</x:t>
        </x:is>
      </x:c>
      <x:c r="B14" s="5" t="inlineStr">
        <x:is>
          <x:t xml:space="preserve">Weight</x:t>
        </x:is>
      </x:c>
      <x:c r="C14" s="5" t="inlineStr">
        <x:is>
          <x:t xml:space="preserve">Notes</x:t>
        </x:is>
      </x:c>
    </x:row>
    <x:row r="15">
      <x:c r="A15" s="6" t="inlineStr">
        <x:is>
          <x:t xml:space="preserve">Questionnaire Points</x:t>
        </x:is>
      </x:c>
      <x:c r="B15" s="7" t="n">
        <x:v>1</x:v>
      </x:c>
      <x:c r="C15" s="6" t="inlineStr">
        <x:is>
          <x:t xml:space="preserve">Multiply questionnaire score by this weight.</x:t>
        </x:is>
      </x:c>
    </x:row>
    <x:row r="16">
      <x:c r="A16" s="6" t="inlineStr">
        <x:is>
          <x:t xml:space="preserve">Picks Points</x:t>
        </x:is>
      </x:c>
      <x:c r="B16" s="7" t="n">
        <x:v>1</x:v>
      </x:c>
      <x:c r="C16" s="6" t="inlineStr">
        <x:is>
          <x:t xml:space="preserve">Multiply picks score by this weight.</x:t>
        </x:is>
      </x:c>
    </x:row>
    <x:row r="17">
      <x:c r="A17" s="6" t="inlineStr">
        <x:is>
          <x:t xml:space="preserve">Bonus: Correct 'Most HR Team'</x:t>
        </x:is>
      </x:c>
      <x:c r="B17" s="7" t="n">
        <x:v>2</x:v>
      </x:c>
      <x:c r="C17" s="6" t="inlineStr">
        <x:is>
          <x:t xml:space="preserve">Optional extra bonus points.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10" customWidth="1"/>
    <x:col min="3" max="3" width="60" customWidth="1"/>
  </x:cols>
  <x:sheetData>
    <x:row r="1">
      <x:c r="A1" s="1" t="inlineStr">
        <x:is>
          <x:t xml:space="preserve">Pick Scoring (Stat-Driven)</x:t>
        </x:is>
      </x:c>
    </x:row>
    <x:row r="3">
      <x:c r="A3" s="2" t="inlineStr">
        <x:is>
          <x:t xml:space="preserve">Pitchers</x:t>
        </x:is>
      </x:c>
    </x:row>
    <x:row r="5" ht="22" customHeight="1">
      <x:c r="A5" s="5" t="inlineStr">
        <x:is>
          <x:t xml:space="preserve">Stat</x:t>
        </x:is>
      </x:c>
      <x:c r="B5" s="5" t="inlineStr">
        <x:is>
          <x:t xml:space="preserve">Pts</x:t>
        </x:is>
      </x:c>
      <x:c r="C5" s="5" t="inlineStr">
        <x:is>
          <x:t xml:space="preserve">Notes</x:t>
        </x:is>
      </x:c>
    </x:row>
    <x:row r="6">
      <x:c r="A6" s="6" t="inlineStr">
        <x:is>
          <x:t xml:space="preserve">Innings Pitched (IP)</x:t>
        </x:is>
      </x:c>
      <x:c r="B6" s="7" t="n">
        <x:v>3</x:v>
      </x:c>
      <x:c r="C6" s="6" t="inlineStr">
        <x:is>
          <x:t xml:space="preserve">Points per inning pitched</x:t>
        </x:is>
      </x:c>
    </x:row>
    <x:row r="7">
      <x:c r="A7" s="6" t="inlineStr">
        <x:is>
          <x:t xml:space="preserve">Strikeouts (K)</x:t>
        </x:is>
      </x:c>
      <x:c r="B7" s="7" t="n">
        <x:v>1</x:v>
      </x:c>
      <x:c r="C7" s="6" t="inlineStr">
        <x:is>
          <x:t xml:space="preserve">Points per strikeout</x:t>
        </x:is>
      </x:c>
    </x:row>
    <x:row r="8">
      <x:c r="A8" s="6" t="inlineStr">
        <x:is>
          <x:t xml:space="preserve">Win (W)</x:t>
        </x:is>
      </x:c>
      <x:c r="B8" s="7" t="n">
        <x:v>5</x:v>
      </x:c>
      <x:c r="C8" s="6" t="inlineStr">
        <x:is>
          <x:t xml:space="preserve">Points per win</x:t>
        </x:is>
      </x:c>
    </x:row>
    <x:row r="9">
      <x:c r="A9" s="6" t="inlineStr">
        <x:is>
          <x:t xml:space="preserve">Save (SV)</x:t>
        </x:is>
      </x:c>
      <x:c r="B9" s="7" t="n">
        <x:v>5</x:v>
      </x:c>
      <x:c r="C9" s="6" t="inlineStr">
        <x:is>
          <x:t xml:space="preserve">Points per save</x:t>
        </x:is>
      </x:c>
    </x:row>
    <x:row r="10">
      <x:c r="A10" s="6" t="inlineStr">
        <x:is>
          <x:t xml:space="preserve">Earned Runs (ER)</x:t>
        </x:is>
      </x:c>
      <x:c r="B10" s="7" t="n">
        <x:v>2</x:v>
      </x:c>
      <x:c r="C10" s="6" t="inlineStr">
        <x:is>
          <x:t xml:space="preserve">Penalty per earned run (subtract)</x:t>
        </x:is>
      </x:c>
    </x:row>
    <x:row r="12">
      <x:c r="A12" s="2" t="inlineStr">
        <x:is>
          <x:t xml:space="preserve">Batters</x:t>
        </x:is>
      </x:c>
    </x:row>
    <x:row r="14" ht="22" customHeight="1">
      <x:c r="A14" s="5" t="inlineStr">
        <x:is>
          <x:t xml:space="preserve">Stat</x:t>
        </x:is>
      </x:c>
      <x:c r="B14" s="5" t="inlineStr">
        <x:is>
          <x:t xml:space="preserve">Pts</x:t>
        </x:is>
      </x:c>
      <x:c r="C14" s="5" t="inlineStr">
        <x:is>
          <x:t xml:space="preserve">Notes</x:t>
        </x:is>
      </x:c>
    </x:row>
    <x:row r="15">
      <x:c r="A15" s="6" t="inlineStr">
        <x:is>
          <x:t xml:space="preserve">Hits (H)</x:t>
        </x:is>
      </x:c>
      <x:c r="B15" s="7" t="n">
        <x:v>1</x:v>
      </x:c>
      <x:c r="C15" s="6" t="inlineStr">
        <x:is>
          <x:t xml:space="preserve">Points per hit</x:t>
        </x:is>
      </x:c>
    </x:row>
    <x:row r="16">
      <x:c r="A16" s="6" t="inlineStr">
        <x:is>
          <x:t xml:space="preserve">Home Runs (HR)</x:t>
        </x:is>
      </x:c>
      <x:c r="B16" s="7" t="n">
        <x:v>4</x:v>
      </x:c>
      <x:c r="C16" s="6" t="inlineStr">
        <x:is>
          <x:t xml:space="preserve">Points per home run</x:t>
        </x:is>
      </x:c>
    </x:row>
    <x:row r="17">
      <x:c r="A17" s="6" t="inlineStr">
        <x:is>
          <x:t xml:space="preserve">Runs Batted In (RBI)</x:t>
        </x:is>
      </x:c>
      <x:c r="B17" s="7" t="n">
        <x:v>1</x:v>
      </x:c>
      <x:c r="C17" s="6" t="inlineStr">
        <x:is>
          <x:t xml:space="preserve">Points per RBI</x:t>
        </x:is>
      </x:c>
    </x:row>
    <x:row r="18">
      <x:c r="A18" s="6" t="inlineStr">
        <x:is>
          <x:t xml:space="preserve">Runs (R)</x:t>
        </x:is>
      </x:c>
      <x:c r="B18" s="7" t="n">
        <x:v>1</x:v>
      </x:c>
      <x:c r="C18" s="6" t="inlineStr">
        <x:is>
          <x:t xml:space="preserve">Points per run scored</x:t>
        </x:is>
      </x:c>
    </x:row>
    <x:row r="19">
      <x:c r="A19" s="6" t="inlineStr">
        <x:is>
          <x:t xml:space="preserve">Stolen Bases (SB)</x:t>
        </x:is>
      </x:c>
      <x:c r="B19" s="7" t="n">
        <x:v>2</x:v>
      </x:c>
      <x:c r="C19" s="6" t="inlineStr">
        <x:is>
          <x:t xml:space="preserve">Points per stolen base</x:t>
        </x:is>
      </x:c>
    </x:row>
    <x:row r="20">
      <x:c r="A20" s="6" t="inlineStr">
        <x:is>
          <x:t xml:space="preserve">Walks (BB)</x:t>
        </x:is>
      </x:c>
      <x:c r="B20" s="7" t="n">
        <x:v>1</x:v>
      </x:c>
      <x:c r="C20" s="6" t="inlineStr">
        <x:is>
          <x:t xml:space="preserve">Points per walk</x:t>
        </x:is>
      </x:c>
    </x:row>
    <x:row r="21">
      <x:c r="A21" s="6" t="inlineStr">
        <x:is>
          <x:t xml:space="preserve">Strikeouts (SO)</x:t>
        </x:is>
      </x:c>
      <x:c r="B21" s="7" t="n">
        <x:v>0.5</x:v>
      </x:c>
      <x:c r="C21" s="6" t="inlineStr">
        <x:is>
          <x:t xml:space="preserve">Penalty per strikeout (subtract)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customWidth="1"/>
    <x:col min="2" max="2" width="46" customWidth="1"/>
    <x:col min="3" max="3" width="24" customWidth="1"/>
    <x:col min="4" max="4" width="18" customWidth="1"/>
    <x:col min="5" max="5" width="10" customWidth="1"/>
    <x:col min="6" max="6" width="10" customWidth="1"/>
    <x:col min="7" max="7" width="38" customWidth="1"/>
  </x:cols>
  <x:sheetData>
    <x:row r="1">
      <x:c r="A1" s="1" t="inlineStr">
        <x:is>
          <x:t xml:space="preserve">Question Bank (same questions each game)</x:t>
        </x:is>
      </x:c>
    </x:row>
    <x:row r="3">
      <x:c r="A3" s="8" t="inlineStr">
        <x:is>
          <x:t xml:space="preserve">Edit/extend this list. Each question maps to a column header in Results.</x:t>
        </x:is>
      </x:c>
    </x:row>
    <x:row r="5" ht="22" customHeight="1">
      <x:c r="A5" s="5" t="inlineStr">
        <x:is>
          <x:t xml:space="preserve">QID</x:t>
        </x:is>
      </x:c>
      <x:c r="B5" s="5" t="inlineStr">
        <x:is>
          <x:t xml:space="preserve">Question</x:t>
        </x:is>
      </x:c>
      <x:c r="C5" s="5" t="inlineStr">
        <x:is>
          <x:t xml:space="preserve">ResultField (Results header)</x:t>
        </x:is>
      </x:c>
      <x:c r="D5" s="5" t="inlineStr">
        <x:is>
          <x:t xml:space="preserve">Type (numeric/text)</x:t>
        </x:is>
      </x:c>
      <x:c r="E5" s="5" t="inlineStr">
        <x:is>
          <x:t xml:space="preserve">Tolerance</x:t>
        </x:is>
      </x:c>
      <x:c r="F5" s="5" t="inlineStr">
        <x:is>
          <x:t xml:space="preserve">MaxPoints</x:t>
        </x:is>
      </x:c>
      <x:c r="G5" s="5" t="inlineStr">
        <x:is>
          <x:t xml:space="preserve">Notes / Options</x:t>
        </x:is>
      </x:c>
    </x:row>
    <x:row r="6">
      <x:c r="A6" s="9" t="inlineStr">
        <x:is>
          <x:t xml:space="preserve">Q1</x:t>
        </x:is>
      </x:c>
      <x:c r="B6" s="6" t="inlineStr">
        <x:is>
          <x:t xml:space="preserve">How many innings will the AWAY starting pitcher go?</x:t>
        </x:is>
      </x:c>
      <x:c r="C6" s="9" t="inlineStr">
        <x:is>
          <x:t xml:space="preserve">Away_SP_IP</x:t>
        </x:is>
      </x:c>
      <x:c r="D6" s="9" t="inlineStr">
        <x:is>
          <x:t xml:space="preserve">numeric</x:t>
        </x:is>
      </x:c>
      <x:c r="E6" s="10" t="n">
        <x:v>0.5</x:v>
      </x:c>
      <x:c r="F6" s="10" t="n">
        <x:v>2</x:v>
      </x:c>
      <x:c r="G6" s="6" t="inlineStr">
        <x:is>
          <x:t xml:space="preserve">Closest within tolerance</x:t>
        </x:is>
      </x:c>
    </x:row>
    <x:row r="7">
      <x:c r="A7" s="9" t="inlineStr">
        <x:is>
          <x:t xml:space="preserve">Q2</x:t>
        </x:is>
      </x:c>
      <x:c r="B7" s="6" t="inlineStr">
        <x:is>
          <x:t xml:space="preserve">How many strikeouts for the AWAY starting pitcher?</x:t>
        </x:is>
      </x:c>
      <x:c r="C7" s="9" t="inlineStr">
        <x:is>
          <x:t xml:space="preserve">Away_SP_SO</x:t>
        </x:is>
      </x:c>
      <x:c r="D7" s="9" t="inlineStr">
        <x:is>
          <x:t xml:space="preserve">numeric</x:t>
        </x:is>
      </x:c>
      <x:c r="E7" s="10" t="n">
        <x:v>1</x:v>
      </x:c>
      <x:c r="F7" s="10" t="n">
        <x:v>2</x:v>
      </x:c>
      <x:c r="G7" s="6" t="inlineStr">
        <x:is>
          <x:t xml:space="preserve"/>
        </x:is>
      </x:c>
    </x:row>
    <x:row r="8">
      <x:c r="A8" s="9" t="inlineStr">
        <x:is>
          <x:t xml:space="preserve">Q3</x:t>
        </x:is>
      </x:c>
      <x:c r="B8" s="6" t="inlineStr">
        <x:is>
          <x:t xml:space="preserve">How many innings will the HOME starting pitcher go?</x:t>
        </x:is>
      </x:c>
      <x:c r="C8" s="9" t="inlineStr">
        <x:is>
          <x:t xml:space="preserve">Home_SP_IP</x:t>
        </x:is>
      </x:c>
      <x:c r="D8" s="9" t="inlineStr">
        <x:is>
          <x:t xml:space="preserve">numeric</x:t>
        </x:is>
      </x:c>
      <x:c r="E8" s="10" t="n">
        <x:v>0.5</x:v>
      </x:c>
      <x:c r="F8" s="10" t="n">
        <x:v>2</x:v>
      </x:c>
      <x:c r="G8" s="6" t="inlineStr">
        <x:is>
          <x:t xml:space="preserve"/>
        </x:is>
      </x:c>
    </x:row>
    <x:row r="9">
      <x:c r="A9" s="9" t="inlineStr">
        <x:is>
          <x:t xml:space="preserve">Q4</x:t>
        </x:is>
      </x:c>
      <x:c r="B9" s="6" t="inlineStr">
        <x:is>
          <x:t xml:space="preserve">How many strikeouts for the HOME starting pitcher?</x:t>
        </x:is>
      </x:c>
      <x:c r="C9" s="9" t="inlineStr">
        <x:is>
          <x:t xml:space="preserve">Home_SP_SO</x:t>
        </x:is>
      </x:c>
      <x:c r="D9" s="9" t="inlineStr">
        <x:is>
          <x:t xml:space="preserve">numeric</x:t>
        </x:is>
      </x:c>
      <x:c r="E9" s="10" t="n">
        <x:v>1</x:v>
      </x:c>
      <x:c r="F9" s="10" t="n">
        <x:v>2</x:v>
      </x:c>
      <x:c r="G9" s="6" t="inlineStr">
        <x:is>
          <x:t xml:space="preserve"/>
        </x:is>
      </x:c>
    </x:row>
    <x:row r="10">
      <x:c r="A10" s="9" t="inlineStr">
        <x:is>
          <x:t xml:space="preserve">Q5</x:t>
        </x:is>
      </x:c>
      <x:c r="B10" s="6" t="inlineStr">
        <x:is>
          <x:t xml:space="preserve">Total hits by AWAY team?</x:t>
        </x:is>
      </x:c>
      <x:c r="C10" s="9" t="inlineStr">
        <x:is>
          <x:t xml:space="preserve">Away_H</x:t>
        </x:is>
      </x:c>
      <x:c r="D10" s="9" t="inlineStr">
        <x:is>
          <x:t xml:space="preserve">numeric</x:t>
        </x:is>
      </x:c>
      <x:c r="E10" s="10" t="n">
        <x:v>1</x:v>
      </x:c>
      <x:c r="F10" s="10" t="n">
        <x:v>2</x:v>
      </x:c>
      <x:c r="G10" s="6" t="inlineStr">
        <x:is>
          <x:t xml:space="preserve"/>
        </x:is>
      </x:c>
    </x:row>
    <x:row r="11">
      <x:c r="A11" s="9" t="inlineStr">
        <x:is>
          <x:t xml:space="preserve">Q6</x:t>
        </x:is>
      </x:c>
      <x:c r="B11" s="6" t="inlineStr">
        <x:is>
          <x:t xml:space="preserve">Total hits by HOME team?</x:t>
        </x:is>
      </x:c>
      <x:c r="C11" s="9" t="inlineStr">
        <x:is>
          <x:t xml:space="preserve">Home_H</x:t>
        </x:is>
      </x:c>
      <x:c r="D11" s="9" t="inlineStr">
        <x:is>
          <x:t xml:space="preserve">numeric</x:t>
        </x:is>
      </x:c>
      <x:c r="E11" s="10" t="n">
        <x:v>1</x:v>
      </x:c>
      <x:c r="F11" s="10" t="n">
        <x:v>2</x:v>
      </x:c>
      <x:c r="G11" s="6" t="inlineStr">
        <x:is>
          <x:t xml:space="preserve"/>
        </x:is>
      </x:c>
    </x:row>
    <x:row r="12">
      <x:c r="A12" s="9" t="inlineStr">
        <x:is>
          <x:t xml:space="preserve">Q7</x:t>
        </x:is>
      </x:c>
      <x:c r="B12" s="6" t="inlineStr">
        <x:is>
          <x:t xml:space="preserve">Which PLAYER gets the most hits? (name)</x:t>
        </x:is>
      </x:c>
      <x:c r="C12" s="9" t="inlineStr">
        <x:is>
          <x:t xml:space="preserve">Top_Hitter_Player</x:t>
        </x:is>
      </x:c>
      <x:c r="D12" s="9" t="inlineStr">
        <x:is>
          <x:t xml:space="preserve">text</x:t>
        </x:is>
      </x:c>
      <x:c r="E12" s="10" t="n">
        <x:v>0</x:v>
      </x:c>
      <x:c r="F12" s="10" t="n">
        <x:v>3</x:v>
      </x:c>
      <x:c r="G12" s="6" t="inlineStr">
        <x:is>
          <x:t xml:space="preserve">Enter exact name as in Results</x:t>
        </x:is>
      </x:c>
    </x:row>
    <x:row r="13">
      <x:c r="A13" s="9" t="inlineStr">
        <x:is>
          <x:t xml:space="preserve">Q8</x:t>
        </x:is>
      </x:c>
      <x:c r="B13" s="6" t="inlineStr">
        <x:is>
          <x:t xml:space="preserve">How many hits does the top hitter have?</x:t>
        </x:is>
      </x:c>
      <x:c r="C13" s="9" t="inlineStr">
        <x:is>
          <x:t xml:space="preserve">Top_Hitter_Hits</x:t>
        </x:is>
      </x:c>
      <x:c r="D13" s="9" t="inlineStr">
        <x:is>
          <x:t xml:space="preserve">numeric</x:t>
        </x:is>
      </x:c>
      <x:c r="E13" s="10" t="n">
        <x:v>0</x:v>
      </x:c>
      <x:c r="F13" s="10" t="n">
        <x:v>2</x:v>
      </x:c>
      <x:c r="G13" s="6" t="inlineStr">
        <x:is>
          <x:t xml:space="preserve">Exact number</x:t>
        </x:is>
      </x:c>
    </x:row>
    <x:row r="14">
      <x:c r="A14" s="9" t="inlineStr">
        <x:is>
          <x:t xml:space="preserve">Q9</x:t>
        </x:is>
      </x:c>
      <x:c r="B14" s="6" t="inlineStr">
        <x:is>
          <x:t xml:space="preserve">Which TEAM hits the most HR? (Away/Home/Team name)</x:t>
        </x:is>
      </x:c>
      <x:c r="C14" s="9" t="inlineStr">
        <x:is>
          <x:t xml:space="preserve">Most_HR_Team</x:t>
        </x:is>
      </x:c>
      <x:c r="D14" s="9" t="inlineStr">
        <x:is>
          <x:t xml:space="preserve">text</x:t>
        </x:is>
      </x:c>
      <x:c r="E14" s="10" t="n">
        <x:v>0</x:v>
      </x:c>
      <x:c r="F14" s="10" t="n">
        <x:v>2</x:v>
      </x:c>
      <x:c r="G14" s="6" t="inlineStr">
        <x:is>
          <x:t xml:space="preserve"/>
        </x:is>
      </x:c>
    </x:row>
    <x:row r="15">
      <x:c r="A15" s="9" t="inlineStr">
        <x:is>
          <x:t xml:space="preserve">Q10</x:t>
        </x:is>
      </x:c>
      <x:c r="B15" s="6" t="inlineStr">
        <x:is>
          <x:t xml:space="preserve">Will the game go to extra innings? (Yes/No)</x:t>
        </x:is>
      </x:c>
      <x:c r="C15" s="9" t="inlineStr">
        <x:is>
          <x:t xml:space="preserve">GameExtraInnings</x:t>
        </x:is>
      </x:c>
      <x:c r="D15" s="9" t="inlineStr">
        <x:is>
          <x:t xml:space="preserve">text</x:t>
        </x:is>
      </x:c>
      <x:c r="E15" s="10" t="n">
        <x:v>0</x:v>
      </x:c>
      <x:c r="F15" s="10" t="n">
        <x:v>3</x:v>
      </x:c>
      <x:c r="G15" s="6" t="inlineStr">
        <x:is>
          <x:t xml:space="preserve">Yes/No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2" customWidth="1"/>
    <x:col min="3" max="3" width="12" customWidth="1"/>
    <x:col min="4" max="4" width="12" customWidth="1"/>
    <x:col min="5" max="5" width="20" customWidth="1"/>
    <x:col min="6" max="6" width="50" customWidth="1"/>
  </x:cols>
  <x:sheetData>
    <x:row r="1">
      <x:c r="A1" s="1" t="inlineStr">
        <x:is>
          <x:t xml:space="preserve">Games / Matchups</x:t>
        </x:is>
      </x:c>
    </x:row>
    <x:row r="3">
      <x:c r="A3" s="8" t="inlineStr">
        <x:is>
          <x:t xml:space="preserve">Add one row per game (or series/season entry, depending on Settings → Play Scope).</x:t>
        </x:is>
      </x:c>
    </x:row>
    <x:row r="5" ht="22" customHeight="1">
      <x:c r="A5" s="5" t="inlineStr">
        <x:is>
          <x:t xml:space="preserve">GameID</x:t>
        </x:is>
      </x:c>
      <x:c r="B5" s="5" t="inlineStr">
        <x:is>
          <x:t xml:space="preserve">Date</x:t>
        </x:is>
      </x:c>
      <x:c r="C5" s="5" t="inlineStr">
        <x:is>
          <x:t xml:space="preserve">AwayTeam</x:t>
        </x:is>
      </x:c>
      <x:c r="D5" s="5" t="inlineStr">
        <x:is>
          <x:t xml:space="preserve">HomeTeam</x:t>
        </x:is>
      </x:c>
      <x:c r="E5" s="5" t="inlineStr">
        <x:is>
          <x:t xml:space="preserve">ScopeGroupID (optional)</x:t>
        </x:is>
      </x:c>
      <x:c r="F5" s="5" t="inlineStr">
        <x:is>
          <x:t xml:space="preserve">Notes</x:t>
        </x:is>
      </x:c>
    </x:row>
    <x:row r="6">
      <x:c r="A6" s="11" t="inlineStr">
        <x:is>
          <x:t xml:space="preserve">2026-04-01-NYY-BOS</x:t>
        </x:is>
      </x:c>
      <x:c r="B6" s="12" t="inlineStr">
        <x:is>
          <x:t xml:space="preserve">2026-04-01</x:t>
        </x:is>
      </x:c>
      <x:c r="C6" s="10" t="inlineStr">
        <x:is>
          <x:t xml:space="preserve">NYY</x:t>
        </x:is>
      </x:c>
      <x:c r="D6" s="10" t="inlineStr">
        <x:is>
          <x:t xml:space="preserve">BOS</x:t>
        </x:is>
      </x:c>
      <x:c r="E6" s="10" t="inlineStr">
        <x:is>
          <x:t xml:space="preserve"/>
        </x:is>
      </x:c>
      <x:c r="F6" s="6" t="inlineStr">
        <x:is>
          <x:t xml:space="preserve">Sample game id format: YYYY-MM-DD-AWAY-HOME</x:t>
        </x:is>
      </x:c>
    </x:row>
    <x:row r="7">
      <x:c r="B7" s="13" t="n"/>
    </x:row>
    <x:row r="8">
      <x:c r="B8" s="13" t="n"/>
    </x:row>
    <x:row r="9">
      <x:c r="B9" s="13" t="n"/>
    </x:row>
    <x:row r="10">
      <x:c r="B10" s="13" t="n"/>
    </x:row>
    <x:row r="11">
      <x:c r="B11" s="13" t="n"/>
    </x:row>
    <x:row r="12">
      <x:c r="B12" s="13" t="n"/>
    </x:row>
    <x:row r="13">
      <x:c r="B13" s="13" t="n"/>
    </x:row>
    <x:row r="14">
      <x:c r="B14" s="13" t="n"/>
    </x:row>
    <x:row r="15">
      <x:c r="B15" s="13" t="n"/>
    </x:row>
    <x:row r="16">
      <x:c r="B16" s="13" t="n"/>
    </x:row>
    <x:row r="17">
      <x:c r="B17" s="13" t="n"/>
    </x:row>
    <x:row r="18">
      <x:c r="B18" s="13" t="n"/>
    </x:row>
    <x:row r="19">
      <x:c r="B19" s="13" t="n"/>
    </x:row>
    <x:row r="20">
      <x:c r="B20" s="13" t="n"/>
    </x:row>
    <x:row r="21">
      <x:c r="B21" s="13" t="n"/>
    </x:row>
    <x:row r="22">
      <x:c r="B22" s="13" t="n"/>
    </x:row>
    <x:row r="23">
      <x:c r="B23" s="13" t="n"/>
    </x:row>
    <x:row r="24">
      <x:c r="B24" s="13" t="n"/>
    </x:row>
    <x:row r="25">
      <x:c r="B25" s="13" t="n"/>
    </x:row>
    <x:row r="26">
      <x:c r="B26" s="13" t="n"/>
    </x:row>
    <x:row r="27">
      <x:c r="B27" s="13" t="n"/>
    </x:row>
    <x:row r="28">
      <x:c r="B28" s="13" t="n"/>
    </x:row>
    <x:row r="29">
      <x:c r="B29" s="13" t="n"/>
    </x:row>
    <x:row r="30">
      <x:c r="B30" s="13" t="n"/>
    </x:row>
    <x:row r="31">
      <x:c r="B31" s="13" t="n"/>
    </x:row>
    <x:row r="32">
      <x:c r="B32" s="13" t="n"/>
    </x:row>
    <x:row r="33">
      <x:c r="B33" s="13" t="n"/>
    </x:row>
    <x:row r="34">
      <x:c r="B34" s="13" t="n"/>
    </x:row>
    <x:row r="35">
      <x:c r="B35" s="13" t="n"/>
    </x:row>
    <x:row r="36">
      <x:c r="B36" s="13" t="n"/>
    </x:row>
    <x:row r="37">
      <x:c r="B37" s="13" t="n"/>
    </x:row>
    <x:row r="38">
      <x:c r="B38" s="13" t="n"/>
    </x:row>
    <x:row r="39">
      <x:c r="B39" s="13" t="n"/>
    </x:row>
    <x:row r="40">
      <x:c r="B40" s="13" t="n"/>
    </x:row>
    <x:row r="41">
      <x:c r="B41" s="13" t="n"/>
    </x:row>
    <x:row r="42">
      <x:c r="B42" s="13" t="n"/>
    </x:row>
    <x:row r="43">
      <x:c r="B43" s="13" t="n"/>
    </x:row>
    <x:row r="44">
      <x:c r="B44" s="13" t="n"/>
    </x:row>
    <x:row r="45">
      <x:c r="B45" s="13" t="n"/>
    </x:row>
    <x:row r="46">
      <x:c r="B46" s="13" t="n"/>
    </x:row>
    <x:row r="47">
      <x:c r="B47" s="13" t="n"/>
    </x:row>
    <x:row r="48">
      <x:c r="B48" s="13" t="n"/>
    </x:row>
    <x:row r="49">
      <x:c r="B49" s="13" t="n"/>
    </x:row>
    <x:row r="50">
      <x:c r="B50" s="13" t="n"/>
    </x:row>
    <x:row r="51">
      <x:c r="B51" s="13" t="n"/>
    </x:row>
    <x:row r="52">
      <x:c r="B52" s="13" t="n"/>
    </x:row>
    <x:row r="53">
      <x:c r="B53" s="13" t="n"/>
    </x:row>
    <x:row r="54">
      <x:c r="B54" s="13" t="n"/>
    </x:row>
    <x:row r="55">
      <x:c r="B55" s="13" t="n"/>
    </x:row>
    <x:row r="56">
      <x:c r="B56" s="13" t="n"/>
    </x:row>
    <x:row r="57">
      <x:c r="B57" s="13" t="n"/>
    </x:row>
    <x:row r="58">
      <x:c r="B58" s="13" t="n"/>
    </x:row>
    <x:row r="59">
      <x:c r="B59" s="13" t="n"/>
    </x:row>
    <x:row r="60">
      <x:c r="B60" s="13" t="n"/>
    </x:row>
    <x:row r="61">
      <x:c r="B61" s="13" t="n"/>
    </x:row>
    <x:row r="62">
      <x:c r="B62" s="13" t="n"/>
    </x:row>
    <x:row r="63">
      <x:c r="B63" s="13" t="n"/>
    </x:row>
    <x:row r="64">
      <x:c r="B64" s="13" t="n"/>
    </x:row>
    <x:row r="65">
      <x:c r="B65" s="13" t="n"/>
    </x:row>
    <x:row r="66">
      <x:c r="B66" s="13" t="n"/>
    </x:row>
    <x:row r="67">
      <x:c r="B67" s="13" t="n"/>
    </x:row>
    <x:row r="68">
      <x:c r="B68" s="13" t="n"/>
    </x:row>
    <x:row r="69">
      <x:c r="B69" s="13" t="n"/>
    </x:row>
    <x:row r="70">
      <x:c r="B70" s="13" t="n"/>
    </x:row>
    <x:row r="71">
      <x:c r="B71" s="13" t="n"/>
    </x:row>
    <x:row r="72">
      <x:c r="B72" s="13" t="n"/>
    </x:row>
    <x:row r="73">
      <x:c r="B73" s="13" t="n"/>
    </x:row>
    <x:row r="74">
      <x:c r="B74" s="13" t="n"/>
    </x:row>
    <x:row r="75">
      <x:c r="B75" s="13" t="n"/>
    </x:row>
    <x:row r="76">
      <x:c r="B76" s="13" t="n"/>
    </x:row>
    <x:row r="77">
      <x:c r="B77" s="13" t="n"/>
    </x:row>
    <x:row r="78">
      <x:c r="B78" s="13" t="n"/>
    </x:row>
    <x:row r="79">
      <x:c r="B79" s="13" t="n"/>
    </x:row>
    <x:row r="80">
      <x:c r="B80" s="13" t="n"/>
    </x:row>
    <x:row r="81">
      <x:c r="B81" s="13" t="n"/>
    </x:row>
    <x:row r="82">
      <x:c r="B82" s="13" t="n"/>
    </x:row>
    <x:row r="83">
      <x:c r="B83" s="13" t="n"/>
    </x:row>
    <x:row r="84">
      <x:c r="B84" s="13" t="n"/>
    </x:row>
    <x:row r="85">
      <x:c r="B85" s="13" t="n"/>
    </x:row>
    <x:row r="86">
      <x:c r="B86" s="13" t="n"/>
    </x:row>
    <x:row r="87">
      <x:c r="B87" s="13" t="n"/>
    </x:row>
    <x:row r="88">
      <x:c r="B88" s="13" t="n"/>
    </x:row>
    <x:row r="89">
      <x:c r="B89" s="13" t="n"/>
    </x:row>
    <x:row r="90">
      <x:c r="B90" s="13" t="n"/>
    </x:row>
    <x:row r="91">
      <x:c r="B91" s="13" t="n"/>
    </x:row>
    <x:row r="92">
      <x:c r="B92" s="13" t="n"/>
    </x:row>
    <x:row r="93">
      <x:c r="B93" s="13" t="n"/>
    </x:row>
    <x:row r="94">
      <x:c r="B94" s="13" t="n"/>
    </x:row>
    <x:row r="95">
      <x:c r="B95" s="13" t="n"/>
    </x:row>
    <x:row r="96">
      <x:c r="B96" s="13" t="n"/>
    </x:row>
    <x:row r="97">
      <x:c r="B97" s="13" t="n"/>
    </x:row>
    <x:row r="98">
      <x:c r="B98" s="13" t="n"/>
    </x:row>
    <x:row r="99">
      <x:c r="B99" s="13" t="n"/>
    </x:row>
    <x:row r="100">
      <x:c r="B100" s="13" t="n"/>
    </x:row>
    <x:row r="101">
      <x:c r="B101" s="13" t="n"/>
    </x:row>
    <x:row r="102">
      <x:c r="B102" s="13" t="n"/>
    </x:row>
    <x:row r="103">
      <x:c r="B103" s="13" t="n"/>
    </x:row>
    <x:row r="104">
      <x:c r="B104" s="13" t="n"/>
    </x:row>
    <x:row r="105">
      <x:c r="B105" s="13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2" customWidth="1"/>
    <x:col min="3" max="3" width="10" customWidth="1"/>
    <x:col min="4" max="4" width="10" customWidth="1"/>
    <x:col min="5" max="5" width="18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8" customWidth="1"/>
    <x:col min="11" max="11" width="8" customWidth="1"/>
    <x:col min="12" max="12" width="8" customWidth="1"/>
    <x:col min="13" max="13" width="8" customWidth="1"/>
    <x:col min="14" max="14" width="8" customWidth="1"/>
    <x:col min="15" max="15" width="8" customWidth="1"/>
    <x:col min="16" max="16" width="22" customWidth="1"/>
    <x:col min="17" max="17" width="14" customWidth="1"/>
    <x:col min="18" max="18" width="14" customWidth="1"/>
    <x:col min="19" max="19" width="14" customWidth="1"/>
  </x:cols>
  <x:sheetData>
    <x:row r="1">
      <x:c r="A1" s="1" t="inlineStr">
        <x:is>
          <x:t xml:space="preserve">Actual Game Results (paste/import here)</x:t>
        </x:is>
      </x:c>
    </x:row>
    <x:row r="3">
      <x:c r="A3" s="8" t="inlineStr">
        <x:is>
          <x:t xml:space="preserve">Fill in after the game (or via import). Column headers are referenced by Questions.</x:t>
        </x:is>
      </x:c>
    </x:row>
    <x:row r="5" ht="22" customHeight="1">
      <x:c r="A5" s="5" t="inlineStr">
        <x:is>
          <x:t xml:space="preserve">GameID</x:t>
        </x:is>
      </x:c>
      <x:c r="B5" s="5" t="inlineStr">
        <x:is>
          <x:t xml:space="preserve">Date</x:t>
        </x:is>
      </x:c>
      <x:c r="C5" s="5" t="inlineStr">
        <x:is>
          <x:t xml:space="preserve">AwayTeam</x:t>
        </x:is>
      </x:c>
      <x:c r="D5" s="5" t="inlineStr">
        <x:is>
          <x:t xml:space="preserve">HomeTeam</x:t>
        </x:is>
      </x:c>
      <x:c r="E5" s="5" t="inlineStr">
        <x:is>
          <x:t xml:space="preserve">GameExtraInnings</x:t>
        </x:is>
      </x:c>
      <x:c r="F5" s="5" t="inlineStr">
        <x:is>
          <x:t xml:space="preserve">Away_SP_IP</x:t>
        </x:is>
      </x:c>
      <x:c r="G5" s="5" t="inlineStr">
        <x:is>
          <x:t xml:space="preserve">Away_SP_SO</x:t>
        </x:is>
      </x:c>
      <x:c r="H5" s="5" t="inlineStr">
        <x:is>
          <x:t xml:space="preserve">Home_SP_IP</x:t>
        </x:is>
      </x:c>
      <x:c r="I5" s="5" t="inlineStr">
        <x:is>
          <x:t xml:space="preserve">Home_SP_SO</x:t>
        </x:is>
      </x:c>
      <x:c r="J5" s="5" t="inlineStr">
        <x:is>
          <x:t xml:space="preserve">Away_H</x:t>
        </x:is>
      </x:c>
      <x:c r="K5" s="5" t="inlineStr">
        <x:is>
          <x:t xml:space="preserve">Home_H</x:t>
        </x:is>
      </x:c>
      <x:c r="L5" s="5" t="inlineStr">
        <x:is>
          <x:t xml:space="preserve">Away_HR</x:t>
        </x:is>
      </x:c>
      <x:c r="M5" s="5" t="inlineStr">
        <x:is>
          <x:t xml:space="preserve">Home_HR</x:t>
        </x:is>
      </x:c>
      <x:c r="N5" s="5" t="inlineStr">
        <x:is>
          <x:t xml:space="preserve">Away_R</x:t>
        </x:is>
      </x:c>
      <x:c r="O5" s="5" t="inlineStr">
        <x:is>
          <x:t xml:space="preserve">Home_R</x:t>
        </x:is>
      </x:c>
      <x:c r="P5" s="5" t="inlineStr">
        <x:is>
          <x:t xml:space="preserve">Top_Hitter_Player</x:t>
        </x:is>
      </x:c>
      <x:c r="Q5" s="5" t="inlineStr">
        <x:is>
          <x:t xml:space="preserve">Top_Hitter_Hits</x:t>
        </x:is>
      </x:c>
      <x:c r="R5" s="5" t="inlineStr">
        <x:is>
          <x:t xml:space="preserve">Most_HR_Team</x:t>
        </x:is>
      </x:c>
      <x:c r="S5" s="5" t="inlineStr">
        <x:is>
          <x:t xml:space="preserve">Most_HR_Count</x:t>
        </x:is>
      </x:c>
    </x:row>
    <x:row r="6">
      <x:c r="A6" s="10" t="inlineStr">
        <x:is>
          <x:t xml:space="preserve">2026-04-01-NYY-BOS</x:t>
        </x:is>
      </x:c>
      <x:c r="B6" s="12" t="inlineStr">
        <x:is>
          <x:t xml:space="preserve">2026-04-01</x:t>
        </x:is>
      </x:c>
      <x:c r="C6" s="10" t="inlineStr">
        <x:is>
          <x:t xml:space="preserve">NYY</x:t>
        </x:is>
      </x:c>
      <x:c r="D6" s="10" t="inlineStr">
        <x:is>
          <x:t xml:space="preserve">BOS</x:t>
        </x:is>
      </x:c>
      <x:c r="E6" s="10" t="inlineStr">
        <x:is>
          <x:t xml:space="preserve">No</x:t>
        </x:is>
      </x:c>
      <x:c r="F6" s="10" t="inlineStr">
        <x:is>
          <x:t xml:space="preserve"/>
        </x:is>
      </x:c>
      <x:c r="G6" s="10" t="inlineStr">
        <x:is>
          <x:t xml:space="preserve"/>
        </x:is>
      </x:c>
      <x:c r="H6" s="10" t="inlineStr">
        <x:is>
          <x:t xml:space="preserve"/>
        </x:is>
      </x:c>
      <x:c r="I6" s="10" t="inlineStr">
        <x:is>
          <x:t xml:space="preserve"/>
        </x:is>
      </x:c>
      <x:c r="J6" s="10" t="inlineStr">
        <x:is>
          <x:t xml:space="preserve"/>
        </x:is>
      </x:c>
      <x:c r="K6" s="10" t="inlineStr">
        <x:is>
          <x:t xml:space="preserve"/>
        </x:is>
      </x:c>
      <x:c r="L6" s="10" t="inlineStr">
        <x:is>
          <x:t xml:space="preserve"/>
        </x:is>
      </x:c>
      <x:c r="M6" s="10" t="inlineStr">
        <x:is>
          <x:t xml:space="preserve"/>
        </x:is>
      </x:c>
      <x:c r="N6" s="10" t="inlineStr">
        <x:is>
          <x:t xml:space="preserve"/>
        </x:is>
      </x:c>
      <x:c r="O6" s="10" t="inlineStr">
        <x:is>
          <x:t xml:space="preserve"/>
        </x:is>
      </x:c>
      <x:c r="P6" s="11" t="inlineStr">
        <x:is>
          <x:t xml:space="preserve"/>
        </x:is>
      </x:c>
      <x:c r="Q6" s="10" t="inlineStr">
        <x:is>
          <x:t xml:space="preserve"/>
        </x:is>
      </x:c>
      <x:c r="R6" s="10" t="inlineStr">
        <x:is>
          <x:t xml:space="preserve"/>
        </x:is>
      </x:c>
      <x:c r="S6" s="10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8" customWidth="1"/>
    <x:col min="3" max="3" width="8" customWidth="1"/>
    <x:col min="4" max="4" width="22" customWidth="1"/>
    <x:col min="5" max="5" width="18" customWidth="1"/>
    <x:col min="6" max="6" width="12" customWidth="1"/>
    <x:col min="7" max="7" width="11" customWidth="1"/>
    <x:col min="8" max="8" width="12" customWidth="1"/>
    <x:col min="9" max="9" width="14" customWidth="1"/>
  </x:cols>
  <x:sheetData>
    <x:row r="1">
      <x:c r="A1" s="1" t="inlineStr">
        <x:is>
          <x:t xml:space="preserve">Questionnaire Answers (one row per question answered)</x:t>
        </x:is>
      </x:c>
    </x:row>
    <x:row r="3">
      <x:c r="A3" s="8" t="inlineStr">
        <x:is>
          <x:t xml:space="preserve">Blue cells are inputs. Scoring happens in PointsAwarded.</x:t>
        </x:is>
      </x:c>
    </x:row>
    <x:row r="5" ht="22" customHeight="1">
      <x:c r="A5" s="5" t="inlineStr">
        <x:is>
          <x:t xml:space="preserve">GameID</x:t>
        </x:is>
      </x:c>
      <x:c r="B5" s="5" t="inlineStr">
        <x:is>
          <x:t xml:space="preserve">User</x:t>
        </x:is>
      </x:c>
      <x:c r="C5" s="5" t="inlineStr">
        <x:is>
          <x:t xml:space="preserve">QID</x:t>
        </x:is>
      </x:c>
      <x:c r="D5" s="5" t="inlineStr">
        <x:is>
          <x:t xml:space="preserve">Answer</x:t>
        </x:is>
      </x:c>
      <x:c r="E5" s="5" t="inlineStr">
        <x:is>
          <x:t xml:space="preserve">ActualValue</x:t>
        </x:is>
      </x:c>
      <x:c r="F5" s="5" t="inlineStr">
        <x:is>
          <x:t xml:space="preserve">Type</x:t>
        </x:is>
      </x:c>
      <x:c r="G5" s="5" t="inlineStr">
        <x:is>
          <x:t xml:space="preserve">Tolerance</x:t>
        </x:is>
      </x:c>
      <x:c r="H5" s="5" t="inlineStr">
        <x:is>
          <x:t xml:space="preserve">MaxPoints</x:t>
        </x:is>
      </x:c>
      <x:c r="I5" s="5" t="inlineStr">
        <x:is>
          <x:t xml:space="preserve">PointsAwarded</x:t>
        </x:is>
      </x:c>
    </x:row>
    <x:row r="6">
      <x:c r="A6" s="11" t="n"/>
      <x:c r="B6" s="10" t="n"/>
      <x:c r="C6" s="10" t="n"/>
      <x:c r="D6" s="10" t="n"/>
      <x:c r="E6" s="9">
        <x:f>IF($A6="","",INDEX(Results!$A$6:$Z$500,MATCH($A6,Results!$A$6:$A$500,0),MATCH(VLOOKUP($C6,Questions!$A$6:$G$200,3,FALSE),Results!$A$5:$Z$5,0)))</x:f>
      </x:c>
      <x:c r="F6" s="9">
        <x:f>IF($C6="","",VLOOKUP($C6,Questions!$A$6:$G$200,4,FALSE))</x:f>
      </x:c>
      <x:c r="G6" s="14">
        <x:f>IF($C6="","",VLOOKUP($C6,Questions!$A$6:$G$200,5,FALSE))</x:f>
      </x:c>
      <x:c r="H6" s="15">
        <x:f>IF($C6="","",VLOOKUP($C6,Questions!$A$6:$G$200,6,FALSE))</x:f>
      </x:c>
      <x:c r="I6" s="15">
        <x:f>IF($A6="","",IF($F6="numeric",IF(ABS($D6-$E6)&lt;=$G6,$H6,0),IF(UPPER($D6)=UPPER($E6),$H6,0)))</x:f>
      </x:c>
    </x:row>
    <x:row r="7">
      <x:c r="A7" s="11" t="n"/>
      <x:c r="B7" s="10" t="n"/>
      <x:c r="C7" s="10" t="n"/>
      <x:c r="D7" s="10" t="n"/>
      <x:c r="E7" s="9">
        <x:f>IF($A7="","",INDEX(Results!$A$6:$Z$500,MATCH($A7,Results!$A$6:$A$500,0),MATCH(VLOOKUP($C7,Questions!$A$6:$G$200,3,FALSE),Results!$A$5:$Z$5,0)))</x:f>
      </x:c>
      <x:c r="F7" s="9">
        <x:f>IF($C7="","",VLOOKUP($C7,Questions!$A$6:$G$200,4,FALSE))</x:f>
      </x:c>
      <x:c r="G7" s="14">
        <x:f>IF($C7="","",VLOOKUP($C7,Questions!$A$6:$G$200,5,FALSE))</x:f>
      </x:c>
      <x:c r="H7" s="15">
        <x:f>IF($C7="","",VLOOKUP($C7,Questions!$A$6:$G$200,6,FALSE))</x:f>
      </x:c>
      <x:c r="I7" s="15">
        <x:f>IF($A7="","",IF($F7="numeric",IF(ABS($D7-$E7)&lt;=$G7,$H7,0),IF(UPPER($D7)=UPPER($E7),$H7,0)))</x:f>
      </x:c>
    </x:row>
    <x:row r="8">
      <x:c r="A8" s="11" t="n"/>
      <x:c r="B8" s="10" t="n"/>
      <x:c r="C8" s="10" t="n"/>
      <x:c r="D8" s="10" t="n"/>
      <x:c r="E8" s="9">
        <x:f>IF($A8="","",INDEX(Results!$A$6:$Z$500,MATCH($A8,Results!$A$6:$A$500,0),MATCH(VLOOKUP($C8,Questions!$A$6:$G$200,3,FALSE),Results!$A$5:$Z$5,0)))</x:f>
      </x:c>
      <x:c r="F8" s="9">
        <x:f>IF($C8="","",VLOOKUP($C8,Questions!$A$6:$G$200,4,FALSE))</x:f>
      </x:c>
      <x:c r="G8" s="14">
        <x:f>IF($C8="","",VLOOKUP($C8,Questions!$A$6:$G$200,5,FALSE))</x:f>
      </x:c>
      <x:c r="H8" s="15">
        <x:f>IF($C8="","",VLOOKUP($C8,Questions!$A$6:$G$200,6,FALSE))</x:f>
      </x:c>
      <x:c r="I8" s="15">
        <x:f>IF($A8="","",IF($F8="numeric",IF(ABS($D8-$E8)&lt;=$G8,$H8,0),IF(UPPER($D8)=UPPER($E8),$H8,0)))</x:f>
      </x:c>
    </x:row>
    <x:row r="9">
      <x:c r="A9" s="11" t="n"/>
      <x:c r="B9" s="10" t="n"/>
      <x:c r="C9" s="10" t="n"/>
      <x:c r="D9" s="10" t="n"/>
      <x:c r="E9" s="9">
        <x:f>IF($A9="","",INDEX(Results!$A$6:$Z$500,MATCH($A9,Results!$A$6:$A$500,0),MATCH(VLOOKUP($C9,Questions!$A$6:$G$200,3,FALSE),Results!$A$5:$Z$5,0)))</x:f>
      </x:c>
      <x:c r="F9" s="9">
        <x:f>IF($C9="","",VLOOKUP($C9,Questions!$A$6:$G$200,4,FALSE))</x:f>
      </x:c>
      <x:c r="G9" s="14">
        <x:f>IF($C9="","",VLOOKUP($C9,Questions!$A$6:$G$200,5,FALSE))</x:f>
      </x:c>
      <x:c r="H9" s="15">
        <x:f>IF($C9="","",VLOOKUP($C9,Questions!$A$6:$G$200,6,FALSE))</x:f>
      </x:c>
      <x:c r="I9" s="15">
        <x:f>IF($A9="","",IF($F9="numeric",IF(ABS($D9-$E9)&lt;=$G9,$H9,0),IF(UPPER($D9)=UPPER($E9),$H9,0)))</x:f>
      </x:c>
    </x:row>
    <x:row r="10">
      <x:c r="A10" s="11" t="n"/>
      <x:c r="B10" s="10" t="n"/>
      <x:c r="C10" s="10" t="n"/>
      <x:c r="D10" s="10" t="n"/>
      <x:c r="E10" s="9">
        <x:f>IF($A10="","",INDEX(Results!$A$6:$Z$500,MATCH($A10,Results!$A$6:$A$500,0),MATCH(VLOOKUP($C10,Questions!$A$6:$G$200,3,FALSE),Results!$A$5:$Z$5,0)))</x:f>
      </x:c>
      <x:c r="F10" s="9">
        <x:f>IF($C10="","",VLOOKUP($C10,Questions!$A$6:$G$200,4,FALSE))</x:f>
      </x:c>
      <x:c r="G10" s="14">
        <x:f>IF($C10="","",VLOOKUP($C10,Questions!$A$6:$G$200,5,FALSE))</x:f>
      </x:c>
      <x:c r="H10" s="15">
        <x:f>IF($C10="","",VLOOKUP($C10,Questions!$A$6:$G$200,6,FALSE))</x:f>
      </x:c>
      <x:c r="I10" s="15">
        <x:f>IF($A10="","",IF($F10="numeric",IF(ABS($D10-$E10)&lt;=$G10,$H10,0),IF(UPPER($D10)=UPPER($E10),$H10,0)))</x:f>
      </x:c>
    </x:row>
    <x:row r="11">
      <x:c r="A11" s="11" t="n"/>
      <x:c r="B11" s="10" t="n"/>
      <x:c r="C11" s="10" t="n"/>
      <x:c r="D11" s="10" t="n"/>
      <x:c r="E11" s="9">
        <x:f>IF($A11="","",INDEX(Results!$A$6:$Z$500,MATCH($A11,Results!$A$6:$A$500,0),MATCH(VLOOKUP($C11,Questions!$A$6:$G$200,3,FALSE),Results!$A$5:$Z$5,0)))</x:f>
      </x:c>
      <x:c r="F11" s="9">
        <x:f>IF($C11="","",VLOOKUP($C11,Questions!$A$6:$G$200,4,FALSE))</x:f>
      </x:c>
      <x:c r="G11" s="14">
        <x:f>IF($C11="","",VLOOKUP($C11,Questions!$A$6:$G$200,5,FALSE))</x:f>
      </x:c>
      <x:c r="H11" s="15">
        <x:f>IF($C11="","",VLOOKUP($C11,Questions!$A$6:$G$200,6,FALSE))</x:f>
      </x:c>
      <x:c r="I11" s="15">
        <x:f>IF($A11="","",IF($F11="numeric",IF(ABS($D11-$E11)&lt;=$G11,$H11,0),IF(UPPER($D11)=UPPER($E11),$H11,0)))</x:f>
      </x:c>
    </x:row>
    <x:row r="12">
      <x:c r="A12" s="11" t="n"/>
      <x:c r="B12" s="10" t="n"/>
      <x:c r="C12" s="10" t="n"/>
      <x:c r="D12" s="10" t="n"/>
      <x:c r="E12" s="9">
        <x:f>IF($A12="","",INDEX(Results!$A$6:$Z$500,MATCH($A12,Results!$A$6:$A$500,0),MATCH(VLOOKUP($C12,Questions!$A$6:$G$200,3,FALSE),Results!$A$5:$Z$5,0)))</x:f>
      </x:c>
      <x:c r="F12" s="9">
        <x:f>IF($C12="","",VLOOKUP($C12,Questions!$A$6:$G$200,4,FALSE))</x:f>
      </x:c>
      <x:c r="G12" s="14">
        <x:f>IF($C12="","",VLOOKUP($C12,Questions!$A$6:$G$200,5,FALSE))</x:f>
      </x:c>
      <x:c r="H12" s="15">
        <x:f>IF($C12="","",VLOOKUP($C12,Questions!$A$6:$G$200,6,FALSE))</x:f>
      </x:c>
      <x:c r="I12" s="15">
        <x:f>IF($A12="","",IF($F12="numeric",IF(ABS($D12-$E12)&lt;=$G12,$H12,0),IF(UPPER($D12)=UPPER($E12),$H12,0)))</x:f>
      </x:c>
    </x:row>
    <x:row r="13">
      <x:c r="A13" s="11" t="n"/>
      <x:c r="B13" s="10" t="n"/>
      <x:c r="C13" s="10" t="n"/>
      <x:c r="D13" s="10" t="n"/>
      <x:c r="E13" s="9">
        <x:f>IF($A13="","",INDEX(Results!$A$6:$Z$500,MATCH($A13,Results!$A$6:$A$500,0),MATCH(VLOOKUP($C13,Questions!$A$6:$G$200,3,FALSE),Results!$A$5:$Z$5,0)))</x:f>
      </x:c>
      <x:c r="F13" s="9">
        <x:f>IF($C13="","",VLOOKUP($C13,Questions!$A$6:$G$200,4,FALSE))</x:f>
      </x:c>
      <x:c r="G13" s="14">
        <x:f>IF($C13="","",VLOOKUP($C13,Questions!$A$6:$G$200,5,FALSE))</x:f>
      </x:c>
      <x:c r="H13" s="15">
        <x:f>IF($C13="","",VLOOKUP($C13,Questions!$A$6:$G$200,6,FALSE))</x:f>
      </x:c>
      <x:c r="I13" s="15">
        <x:f>IF($A13="","",IF($F13="numeric",IF(ABS($D13-$E13)&lt;=$G13,$H13,0),IF(UPPER($D13)=UPPER($E13),$H13,0)))</x:f>
      </x:c>
    </x:row>
    <x:row r="14">
      <x:c r="A14" s="11" t="n"/>
      <x:c r="B14" s="10" t="n"/>
      <x:c r="C14" s="10" t="n"/>
      <x:c r="D14" s="10" t="n"/>
      <x:c r="E14" s="9">
        <x:f>IF($A14="","",INDEX(Results!$A$6:$Z$500,MATCH($A14,Results!$A$6:$A$500,0),MATCH(VLOOKUP($C14,Questions!$A$6:$G$200,3,FALSE),Results!$A$5:$Z$5,0)))</x:f>
      </x:c>
      <x:c r="F14" s="9">
        <x:f>IF($C14="","",VLOOKUP($C14,Questions!$A$6:$G$200,4,FALSE))</x:f>
      </x:c>
      <x:c r="G14" s="14">
        <x:f>IF($C14="","",VLOOKUP($C14,Questions!$A$6:$G$200,5,FALSE))</x:f>
      </x:c>
      <x:c r="H14" s="15">
        <x:f>IF($C14="","",VLOOKUP($C14,Questions!$A$6:$G$200,6,FALSE))</x:f>
      </x:c>
      <x:c r="I14" s="15">
        <x:f>IF($A14="","",IF($F14="numeric",IF(ABS($D14-$E14)&lt;=$G14,$H14,0),IF(UPPER($D14)=UPPER($E14),$H14,0)))</x:f>
      </x:c>
    </x:row>
    <x:row r="15">
      <x:c r="A15" s="11" t="n"/>
      <x:c r="B15" s="10" t="n"/>
      <x:c r="C15" s="10" t="n"/>
      <x:c r="D15" s="10" t="n"/>
      <x:c r="E15" s="9">
        <x:f>IF($A15="","",INDEX(Results!$A$6:$Z$500,MATCH($A15,Results!$A$6:$A$500,0),MATCH(VLOOKUP($C15,Questions!$A$6:$G$200,3,FALSE),Results!$A$5:$Z$5,0)))</x:f>
      </x:c>
      <x:c r="F15" s="9">
        <x:f>IF($C15="","",VLOOKUP($C15,Questions!$A$6:$G$200,4,FALSE))</x:f>
      </x:c>
      <x:c r="G15" s="14">
        <x:f>IF($C15="","",VLOOKUP($C15,Questions!$A$6:$G$200,5,FALSE))</x:f>
      </x:c>
      <x:c r="H15" s="15">
        <x:f>IF($C15="","",VLOOKUP($C15,Questions!$A$6:$G$200,6,FALSE))</x:f>
      </x:c>
      <x:c r="I15" s="15">
        <x:f>IF($A15="","",IF($F15="numeric",IF(ABS($D15-$E15)&lt;=$G15,$H15,0),IF(UPPER($D15)=UPPER($E15),$H15,0)))</x:f>
      </x:c>
    </x:row>
    <x:row r="16">
      <x:c r="A16" s="11" t="n"/>
      <x:c r="B16" s="10" t="n"/>
      <x:c r="C16" s="10" t="n"/>
      <x:c r="D16" s="10" t="n"/>
      <x:c r="E16" s="9">
        <x:f>IF($A16="","",INDEX(Results!$A$6:$Z$500,MATCH($A16,Results!$A$6:$A$500,0),MATCH(VLOOKUP($C16,Questions!$A$6:$G$200,3,FALSE),Results!$A$5:$Z$5,0)))</x:f>
      </x:c>
      <x:c r="F16" s="9">
        <x:f>IF($C16="","",VLOOKUP($C16,Questions!$A$6:$G$200,4,FALSE))</x:f>
      </x:c>
      <x:c r="G16" s="14">
        <x:f>IF($C16="","",VLOOKUP($C16,Questions!$A$6:$G$200,5,FALSE))</x:f>
      </x:c>
      <x:c r="H16" s="15">
        <x:f>IF($C16="","",VLOOKUP($C16,Questions!$A$6:$G$200,6,FALSE))</x:f>
      </x:c>
      <x:c r="I16" s="15">
        <x:f>IF($A16="","",IF($F16="numeric",IF(ABS($D16-$E16)&lt;=$G16,$H16,0),IF(UPPER($D16)=UPPER($E16),$H16,0)))</x:f>
      </x:c>
    </x:row>
    <x:row r="17">
      <x:c r="A17" s="11" t="n"/>
      <x:c r="B17" s="10" t="n"/>
      <x:c r="C17" s="10" t="n"/>
      <x:c r="D17" s="10" t="n"/>
      <x:c r="E17" s="9">
        <x:f>IF($A17="","",INDEX(Results!$A$6:$Z$500,MATCH($A17,Results!$A$6:$A$500,0),MATCH(VLOOKUP($C17,Questions!$A$6:$G$200,3,FALSE),Results!$A$5:$Z$5,0)))</x:f>
      </x:c>
      <x:c r="F17" s="9">
        <x:f>IF($C17="","",VLOOKUP($C17,Questions!$A$6:$G$200,4,FALSE))</x:f>
      </x:c>
      <x:c r="G17" s="14">
        <x:f>IF($C17="","",VLOOKUP($C17,Questions!$A$6:$G$200,5,FALSE))</x:f>
      </x:c>
      <x:c r="H17" s="15">
        <x:f>IF($C17="","",VLOOKUP($C17,Questions!$A$6:$G$200,6,FALSE))</x:f>
      </x:c>
      <x:c r="I17" s="15">
        <x:f>IF($A17="","",IF($F17="numeric",IF(ABS($D17-$E17)&lt;=$G17,$H17,0),IF(UPPER($D17)=UPPER($E17),$H17,0)))</x:f>
      </x:c>
    </x:row>
    <x:row r="18">
      <x:c r="A18" s="11" t="n"/>
      <x:c r="B18" s="10" t="n"/>
      <x:c r="C18" s="10" t="n"/>
      <x:c r="D18" s="10" t="n"/>
      <x:c r="E18" s="9">
        <x:f>IF($A18="","",INDEX(Results!$A$6:$Z$500,MATCH($A18,Results!$A$6:$A$500,0),MATCH(VLOOKUP($C18,Questions!$A$6:$G$200,3,FALSE),Results!$A$5:$Z$5,0)))</x:f>
      </x:c>
      <x:c r="F18" s="9">
        <x:f>IF($C18="","",VLOOKUP($C18,Questions!$A$6:$G$200,4,FALSE))</x:f>
      </x:c>
      <x:c r="G18" s="14">
        <x:f>IF($C18="","",VLOOKUP($C18,Questions!$A$6:$G$200,5,FALSE))</x:f>
      </x:c>
      <x:c r="H18" s="15">
        <x:f>IF($C18="","",VLOOKUP($C18,Questions!$A$6:$G$200,6,FALSE))</x:f>
      </x:c>
      <x:c r="I18" s="15">
        <x:f>IF($A18="","",IF($F18="numeric",IF(ABS($D18-$E18)&lt;=$G18,$H18,0),IF(UPPER($D18)=UPPER($E18),$H18,0)))</x:f>
      </x:c>
    </x:row>
    <x:row r="19">
      <x:c r="A19" s="11" t="n"/>
      <x:c r="B19" s="10" t="n"/>
      <x:c r="C19" s="10" t="n"/>
      <x:c r="D19" s="10" t="n"/>
      <x:c r="E19" s="9">
        <x:f>IF($A19="","",INDEX(Results!$A$6:$Z$500,MATCH($A19,Results!$A$6:$A$500,0),MATCH(VLOOKUP($C19,Questions!$A$6:$G$200,3,FALSE),Results!$A$5:$Z$5,0)))</x:f>
      </x:c>
      <x:c r="F19" s="9">
        <x:f>IF($C19="","",VLOOKUP($C19,Questions!$A$6:$G$200,4,FALSE))</x:f>
      </x:c>
      <x:c r="G19" s="14">
        <x:f>IF($C19="","",VLOOKUP($C19,Questions!$A$6:$G$200,5,FALSE))</x:f>
      </x:c>
      <x:c r="H19" s="15">
        <x:f>IF($C19="","",VLOOKUP($C19,Questions!$A$6:$G$200,6,FALSE))</x:f>
      </x:c>
      <x:c r="I19" s="15">
        <x:f>IF($A19="","",IF($F19="numeric",IF(ABS($D19-$E19)&lt;=$G19,$H19,0),IF(UPPER($D19)=UPPER($E19),$H19,0)))</x:f>
      </x:c>
    </x:row>
    <x:row r="20">
      <x:c r="A20" s="11" t="n"/>
      <x:c r="B20" s="10" t="n"/>
      <x:c r="C20" s="10" t="n"/>
      <x:c r="D20" s="10" t="n"/>
      <x:c r="E20" s="9">
        <x:f>IF($A20="","",INDEX(Results!$A$6:$Z$500,MATCH($A20,Results!$A$6:$A$500,0),MATCH(VLOOKUP($C20,Questions!$A$6:$G$200,3,FALSE),Results!$A$5:$Z$5,0)))</x:f>
      </x:c>
      <x:c r="F20" s="9">
        <x:f>IF($C20="","",VLOOKUP($C20,Questions!$A$6:$G$200,4,FALSE))</x:f>
      </x:c>
      <x:c r="G20" s="14">
        <x:f>IF($C20="","",VLOOKUP($C20,Questions!$A$6:$G$200,5,FALSE))</x:f>
      </x:c>
      <x:c r="H20" s="15">
        <x:f>IF($C20="","",VLOOKUP($C20,Questions!$A$6:$G$200,6,FALSE))</x:f>
      </x:c>
      <x:c r="I20" s="15">
        <x:f>IF($A20="","",IF($F20="numeric",IF(ABS($D20-$E20)&lt;=$G20,$H20,0),IF(UPPER($D20)=UPPER($E20),$H20,0)))</x:f>
      </x:c>
    </x:row>
    <x:row r="21">
      <x:c r="A21" s="11" t="n"/>
      <x:c r="B21" s="10" t="n"/>
      <x:c r="C21" s="10" t="n"/>
      <x:c r="D21" s="10" t="n"/>
      <x:c r="E21" s="9">
        <x:f>IF($A21="","",INDEX(Results!$A$6:$Z$500,MATCH($A21,Results!$A$6:$A$500,0),MATCH(VLOOKUP($C21,Questions!$A$6:$G$200,3,FALSE),Results!$A$5:$Z$5,0)))</x:f>
      </x:c>
      <x:c r="F21" s="9">
        <x:f>IF($C21="","",VLOOKUP($C21,Questions!$A$6:$G$200,4,FALSE))</x:f>
      </x:c>
      <x:c r="G21" s="14">
        <x:f>IF($C21="","",VLOOKUP($C21,Questions!$A$6:$G$200,5,FALSE))</x:f>
      </x:c>
      <x:c r="H21" s="15">
        <x:f>IF($C21="","",VLOOKUP($C21,Questions!$A$6:$G$200,6,FALSE))</x:f>
      </x:c>
      <x:c r="I21" s="15">
        <x:f>IF($A21="","",IF($F21="numeric",IF(ABS($D21-$E21)&lt;=$G21,$H21,0),IF(UPPER($D21)=UPPER($E21),$H21,0)))</x:f>
      </x:c>
    </x:row>
    <x:row r="22">
      <x:c r="A22" s="11" t="n"/>
      <x:c r="B22" s="10" t="n"/>
      <x:c r="C22" s="10" t="n"/>
      <x:c r="D22" s="10" t="n"/>
      <x:c r="E22" s="9">
        <x:f>IF($A22="","",INDEX(Results!$A$6:$Z$500,MATCH($A22,Results!$A$6:$A$500,0),MATCH(VLOOKUP($C22,Questions!$A$6:$G$200,3,FALSE),Results!$A$5:$Z$5,0)))</x:f>
      </x:c>
      <x:c r="F22" s="9">
        <x:f>IF($C22="","",VLOOKUP($C22,Questions!$A$6:$G$200,4,FALSE))</x:f>
      </x:c>
      <x:c r="G22" s="14">
        <x:f>IF($C22="","",VLOOKUP($C22,Questions!$A$6:$G$200,5,FALSE))</x:f>
      </x:c>
      <x:c r="H22" s="15">
        <x:f>IF($C22="","",VLOOKUP($C22,Questions!$A$6:$G$200,6,FALSE))</x:f>
      </x:c>
      <x:c r="I22" s="15">
        <x:f>IF($A22="","",IF($F22="numeric",IF(ABS($D22-$E22)&lt;=$G22,$H22,0),IF(UPPER($D22)=UPPER($E22),$H22,0)))</x:f>
      </x:c>
    </x:row>
    <x:row r="23">
      <x:c r="A23" s="11" t="n"/>
      <x:c r="B23" s="10" t="n"/>
      <x:c r="C23" s="10" t="n"/>
      <x:c r="D23" s="10" t="n"/>
      <x:c r="E23" s="9">
        <x:f>IF($A23="","",INDEX(Results!$A$6:$Z$500,MATCH($A23,Results!$A$6:$A$500,0),MATCH(VLOOKUP($C23,Questions!$A$6:$G$200,3,FALSE),Results!$A$5:$Z$5,0)))</x:f>
      </x:c>
      <x:c r="F23" s="9">
        <x:f>IF($C23="","",VLOOKUP($C23,Questions!$A$6:$G$200,4,FALSE))</x:f>
      </x:c>
      <x:c r="G23" s="14">
        <x:f>IF($C23="","",VLOOKUP($C23,Questions!$A$6:$G$200,5,FALSE))</x:f>
      </x:c>
      <x:c r="H23" s="15">
        <x:f>IF($C23="","",VLOOKUP($C23,Questions!$A$6:$G$200,6,FALSE))</x:f>
      </x:c>
      <x:c r="I23" s="15">
        <x:f>IF($A23="","",IF($F23="numeric",IF(ABS($D23-$E23)&lt;=$G23,$H23,0),IF(UPPER($D23)=UPPER($E23),$H23,0)))</x:f>
      </x:c>
    </x:row>
    <x:row r="24">
      <x:c r="A24" s="11" t="n"/>
      <x:c r="B24" s="10" t="n"/>
      <x:c r="C24" s="10" t="n"/>
      <x:c r="D24" s="10" t="n"/>
      <x:c r="E24" s="9">
        <x:f>IF($A24="","",INDEX(Results!$A$6:$Z$500,MATCH($A24,Results!$A$6:$A$500,0),MATCH(VLOOKUP($C24,Questions!$A$6:$G$200,3,FALSE),Results!$A$5:$Z$5,0)))</x:f>
      </x:c>
      <x:c r="F24" s="9">
        <x:f>IF($C24="","",VLOOKUP($C24,Questions!$A$6:$G$200,4,FALSE))</x:f>
      </x:c>
      <x:c r="G24" s="14">
        <x:f>IF($C24="","",VLOOKUP($C24,Questions!$A$6:$G$200,5,FALSE))</x:f>
      </x:c>
      <x:c r="H24" s="15">
        <x:f>IF($C24="","",VLOOKUP($C24,Questions!$A$6:$G$200,6,FALSE))</x:f>
      </x:c>
      <x:c r="I24" s="15">
        <x:f>IF($A24="","",IF($F24="numeric",IF(ABS($D24-$E24)&lt;=$G24,$H24,0),IF(UPPER($D24)=UPPER($E24),$H24,0)))</x:f>
      </x:c>
    </x:row>
    <x:row r="25">
      <x:c r="A25" s="11" t="n"/>
      <x:c r="B25" s="10" t="n"/>
      <x:c r="C25" s="10" t="n"/>
      <x:c r="D25" s="10" t="n"/>
      <x:c r="E25" s="9">
        <x:f>IF($A25="","",INDEX(Results!$A$6:$Z$500,MATCH($A25,Results!$A$6:$A$500,0),MATCH(VLOOKUP($C25,Questions!$A$6:$G$200,3,FALSE),Results!$A$5:$Z$5,0)))</x:f>
      </x:c>
      <x:c r="F25" s="9">
        <x:f>IF($C25="","",VLOOKUP($C25,Questions!$A$6:$G$200,4,FALSE))</x:f>
      </x:c>
      <x:c r="G25" s="14">
        <x:f>IF($C25="","",VLOOKUP($C25,Questions!$A$6:$G$200,5,FALSE))</x:f>
      </x:c>
      <x:c r="H25" s="15">
        <x:f>IF($C25="","",VLOOKUP($C25,Questions!$A$6:$G$200,6,FALSE))</x:f>
      </x:c>
      <x:c r="I25" s="15">
        <x:f>IF($A25="","",IF($F25="numeric",IF(ABS($D25-$E25)&lt;=$G25,$H25,0),IF(UPPER($D25)=UPPER($E25),$H25,0)))</x:f>
      </x:c>
    </x:row>
    <x:row r="26">
      <x:c r="A26" s="11" t="n"/>
      <x:c r="B26" s="10" t="n"/>
      <x:c r="C26" s="10" t="n"/>
      <x:c r="D26" s="10" t="n"/>
      <x:c r="E26" s="9">
        <x:f>IF($A26="","",INDEX(Results!$A$6:$Z$500,MATCH($A26,Results!$A$6:$A$500,0),MATCH(VLOOKUP($C26,Questions!$A$6:$G$200,3,FALSE),Results!$A$5:$Z$5,0)))</x:f>
      </x:c>
      <x:c r="F26" s="9">
        <x:f>IF($C26="","",VLOOKUP($C26,Questions!$A$6:$G$200,4,FALSE))</x:f>
      </x:c>
      <x:c r="G26" s="14">
        <x:f>IF($C26="","",VLOOKUP($C26,Questions!$A$6:$G$200,5,FALSE))</x:f>
      </x:c>
      <x:c r="H26" s="15">
        <x:f>IF($C26="","",VLOOKUP($C26,Questions!$A$6:$G$200,6,FALSE))</x:f>
      </x:c>
      <x:c r="I26" s="15">
        <x:f>IF($A26="","",IF($F26="numeric",IF(ABS($D26-$E26)&lt;=$G26,$H26,0),IF(UPPER($D26)=UPPER($E26),$H26,0)))</x:f>
      </x:c>
    </x:row>
    <x:row r="27">
      <x:c r="A27" s="11" t="n"/>
      <x:c r="B27" s="10" t="n"/>
      <x:c r="C27" s="10" t="n"/>
      <x:c r="D27" s="10" t="n"/>
      <x:c r="E27" s="9">
        <x:f>IF($A27="","",INDEX(Results!$A$6:$Z$500,MATCH($A27,Results!$A$6:$A$500,0),MATCH(VLOOKUP($C27,Questions!$A$6:$G$200,3,FALSE),Results!$A$5:$Z$5,0)))</x:f>
      </x:c>
      <x:c r="F27" s="9">
        <x:f>IF($C27="","",VLOOKUP($C27,Questions!$A$6:$G$200,4,FALSE))</x:f>
      </x:c>
      <x:c r="G27" s="14">
        <x:f>IF($C27="","",VLOOKUP($C27,Questions!$A$6:$G$200,5,FALSE))</x:f>
      </x:c>
      <x:c r="H27" s="15">
        <x:f>IF($C27="","",VLOOKUP($C27,Questions!$A$6:$G$200,6,FALSE))</x:f>
      </x:c>
      <x:c r="I27" s="15">
        <x:f>IF($A27="","",IF($F27="numeric",IF(ABS($D27-$E27)&lt;=$G27,$H27,0),IF(UPPER($D27)=UPPER($E27),$H27,0)))</x:f>
      </x:c>
    </x:row>
    <x:row r="28">
      <x:c r="A28" s="11" t="n"/>
      <x:c r="B28" s="10" t="n"/>
      <x:c r="C28" s="10" t="n"/>
      <x:c r="D28" s="10" t="n"/>
      <x:c r="E28" s="9">
        <x:f>IF($A28="","",INDEX(Results!$A$6:$Z$500,MATCH($A28,Results!$A$6:$A$500,0),MATCH(VLOOKUP($C28,Questions!$A$6:$G$200,3,FALSE),Results!$A$5:$Z$5,0)))</x:f>
      </x:c>
      <x:c r="F28" s="9">
        <x:f>IF($C28="","",VLOOKUP($C28,Questions!$A$6:$G$200,4,FALSE))</x:f>
      </x:c>
      <x:c r="G28" s="14">
        <x:f>IF($C28="","",VLOOKUP($C28,Questions!$A$6:$G$200,5,FALSE))</x:f>
      </x:c>
      <x:c r="H28" s="15">
        <x:f>IF($C28="","",VLOOKUP($C28,Questions!$A$6:$G$200,6,FALSE))</x:f>
      </x:c>
      <x:c r="I28" s="15">
        <x:f>IF($A28="","",IF($F28="numeric",IF(ABS($D28-$E28)&lt;=$G28,$H28,0),IF(UPPER($D28)=UPPER($E28),$H28,0)))</x:f>
      </x:c>
    </x:row>
    <x:row r="29">
      <x:c r="A29" s="11" t="n"/>
      <x:c r="B29" s="10" t="n"/>
      <x:c r="C29" s="10" t="n"/>
      <x:c r="D29" s="10" t="n"/>
      <x:c r="E29" s="9">
        <x:f>IF($A29="","",INDEX(Results!$A$6:$Z$500,MATCH($A29,Results!$A$6:$A$500,0),MATCH(VLOOKUP($C29,Questions!$A$6:$G$200,3,FALSE),Results!$A$5:$Z$5,0)))</x:f>
      </x:c>
      <x:c r="F29" s="9">
        <x:f>IF($C29="","",VLOOKUP($C29,Questions!$A$6:$G$200,4,FALSE))</x:f>
      </x:c>
      <x:c r="G29" s="14">
        <x:f>IF($C29="","",VLOOKUP($C29,Questions!$A$6:$G$200,5,FALSE))</x:f>
      </x:c>
      <x:c r="H29" s="15">
        <x:f>IF($C29="","",VLOOKUP($C29,Questions!$A$6:$G$200,6,FALSE))</x:f>
      </x:c>
      <x:c r="I29" s="15">
        <x:f>IF($A29="","",IF($F29="numeric",IF(ABS($D29-$E29)&lt;=$G29,$H29,0),IF(UPPER($D29)=UPPER($E29),$H29,0)))</x:f>
      </x:c>
    </x:row>
    <x:row r="30">
      <x:c r="A30" s="11" t="n"/>
      <x:c r="B30" s="10" t="n"/>
      <x:c r="C30" s="10" t="n"/>
      <x:c r="D30" s="10" t="n"/>
      <x:c r="E30" s="9">
        <x:f>IF($A30="","",INDEX(Results!$A$6:$Z$500,MATCH($A30,Results!$A$6:$A$500,0),MATCH(VLOOKUP($C30,Questions!$A$6:$G$200,3,FALSE),Results!$A$5:$Z$5,0)))</x:f>
      </x:c>
      <x:c r="F30" s="9">
        <x:f>IF($C30="","",VLOOKUP($C30,Questions!$A$6:$G$200,4,FALSE))</x:f>
      </x:c>
      <x:c r="G30" s="14">
        <x:f>IF($C30="","",VLOOKUP($C30,Questions!$A$6:$G$200,5,FALSE))</x:f>
      </x:c>
      <x:c r="H30" s="15">
        <x:f>IF($C30="","",VLOOKUP($C30,Questions!$A$6:$G$200,6,FALSE))</x:f>
      </x:c>
      <x:c r="I30" s="15">
        <x:f>IF($A30="","",IF($F30="numeric",IF(ABS($D30-$E30)&lt;=$G30,$H30,0),IF(UPPER($D30)=UPPER($E30),$H30,0)))</x:f>
      </x:c>
    </x:row>
    <x:row r="31">
      <x:c r="A31" s="11" t="n"/>
      <x:c r="B31" s="10" t="n"/>
      <x:c r="C31" s="10" t="n"/>
      <x:c r="D31" s="10" t="n"/>
      <x:c r="E31" s="9">
        <x:f>IF($A31="","",INDEX(Results!$A$6:$Z$500,MATCH($A31,Results!$A$6:$A$500,0),MATCH(VLOOKUP($C31,Questions!$A$6:$G$200,3,FALSE),Results!$A$5:$Z$5,0)))</x:f>
      </x:c>
      <x:c r="F31" s="9">
        <x:f>IF($C31="","",VLOOKUP($C31,Questions!$A$6:$G$200,4,FALSE))</x:f>
      </x:c>
      <x:c r="G31" s="14">
        <x:f>IF($C31="","",VLOOKUP($C31,Questions!$A$6:$G$200,5,FALSE))</x:f>
      </x:c>
      <x:c r="H31" s="15">
        <x:f>IF($C31="","",VLOOKUP($C31,Questions!$A$6:$G$200,6,FALSE))</x:f>
      </x:c>
      <x:c r="I31" s="15">
        <x:f>IF($A31="","",IF($F31="numeric",IF(ABS($D31-$E31)&lt;=$G31,$H31,0),IF(UPPER($D31)=UPPER($E31),$H31,0)))</x:f>
      </x:c>
    </x:row>
    <x:row r="32">
      <x:c r="A32" s="11" t="n"/>
      <x:c r="B32" s="10" t="n"/>
      <x:c r="C32" s="10" t="n"/>
      <x:c r="D32" s="10" t="n"/>
      <x:c r="E32" s="9">
        <x:f>IF($A32="","",INDEX(Results!$A$6:$Z$500,MATCH($A32,Results!$A$6:$A$500,0),MATCH(VLOOKUP($C32,Questions!$A$6:$G$200,3,FALSE),Results!$A$5:$Z$5,0)))</x:f>
      </x:c>
      <x:c r="F32" s="9">
        <x:f>IF($C32="","",VLOOKUP($C32,Questions!$A$6:$G$200,4,FALSE))</x:f>
      </x:c>
      <x:c r="G32" s="14">
        <x:f>IF($C32="","",VLOOKUP($C32,Questions!$A$6:$G$200,5,FALSE))</x:f>
      </x:c>
      <x:c r="H32" s="15">
        <x:f>IF($C32="","",VLOOKUP($C32,Questions!$A$6:$G$200,6,FALSE))</x:f>
      </x:c>
      <x:c r="I32" s="15">
        <x:f>IF($A32="","",IF($F32="numeric",IF(ABS($D32-$E32)&lt;=$G32,$H32,0),IF(UPPER($D32)=UPPER($E32),$H32,0)))</x:f>
      </x:c>
    </x:row>
    <x:row r="33">
      <x:c r="A33" s="11" t="n"/>
      <x:c r="B33" s="10" t="n"/>
      <x:c r="C33" s="10" t="n"/>
      <x:c r="D33" s="10" t="n"/>
      <x:c r="E33" s="9">
        <x:f>IF($A33="","",INDEX(Results!$A$6:$Z$500,MATCH($A33,Results!$A$6:$A$500,0),MATCH(VLOOKUP($C33,Questions!$A$6:$G$200,3,FALSE),Results!$A$5:$Z$5,0)))</x:f>
      </x:c>
      <x:c r="F33" s="9">
        <x:f>IF($C33="","",VLOOKUP($C33,Questions!$A$6:$G$200,4,FALSE))</x:f>
      </x:c>
      <x:c r="G33" s="14">
        <x:f>IF($C33="","",VLOOKUP($C33,Questions!$A$6:$G$200,5,FALSE))</x:f>
      </x:c>
      <x:c r="H33" s="15">
        <x:f>IF($C33="","",VLOOKUP($C33,Questions!$A$6:$G$200,6,FALSE))</x:f>
      </x:c>
      <x:c r="I33" s="15">
        <x:f>IF($A33="","",IF($F33="numeric",IF(ABS($D33-$E33)&lt;=$G33,$H33,0),IF(UPPER($D33)=UPPER($E33),$H33,0)))</x:f>
      </x:c>
    </x:row>
    <x:row r="34">
      <x:c r="A34" s="11" t="n"/>
      <x:c r="B34" s="10" t="n"/>
      <x:c r="C34" s="10" t="n"/>
      <x:c r="D34" s="10" t="n"/>
      <x:c r="E34" s="9">
        <x:f>IF($A34="","",INDEX(Results!$A$6:$Z$500,MATCH($A34,Results!$A$6:$A$500,0),MATCH(VLOOKUP($C34,Questions!$A$6:$G$200,3,FALSE),Results!$A$5:$Z$5,0)))</x:f>
      </x:c>
      <x:c r="F34" s="9">
        <x:f>IF($C34="","",VLOOKUP($C34,Questions!$A$6:$G$200,4,FALSE))</x:f>
      </x:c>
      <x:c r="G34" s="14">
        <x:f>IF($C34="","",VLOOKUP($C34,Questions!$A$6:$G$200,5,FALSE))</x:f>
      </x:c>
      <x:c r="H34" s="15">
        <x:f>IF($C34="","",VLOOKUP($C34,Questions!$A$6:$G$200,6,FALSE))</x:f>
      </x:c>
      <x:c r="I34" s="15">
        <x:f>IF($A34="","",IF($F34="numeric",IF(ABS($D34-$E34)&lt;=$G34,$H34,0),IF(UPPER($D34)=UPPER($E34),$H34,0)))</x:f>
      </x:c>
    </x:row>
    <x:row r="35">
      <x:c r="A35" s="11" t="n"/>
      <x:c r="B35" s="10" t="n"/>
      <x:c r="C35" s="10" t="n"/>
      <x:c r="D35" s="10" t="n"/>
      <x:c r="E35" s="9">
        <x:f>IF($A35="","",INDEX(Results!$A$6:$Z$500,MATCH($A35,Results!$A$6:$A$500,0),MATCH(VLOOKUP($C35,Questions!$A$6:$G$200,3,FALSE),Results!$A$5:$Z$5,0)))</x:f>
      </x:c>
      <x:c r="F35" s="9">
        <x:f>IF($C35="","",VLOOKUP($C35,Questions!$A$6:$G$200,4,FALSE))</x:f>
      </x:c>
      <x:c r="G35" s="14">
        <x:f>IF($C35="","",VLOOKUP($C35,Questions!$A$6:$G$200,5,FALSE))</x:f>
      </x:c>
      <x:c r="H35" s="15">
        <x:f>IF($C35="","",VLOOKUP($C35,Questions!$A$6:$G$200,6,FALSE))</x:f>
      </x:c>
      <x:c r="I35" s="15">
        <x:f>IF($A35="","",IF($F35="numeric",IF(ABS($D35-$E35)&lt;=$G35,$H35,0),IF(UPPER($D35)=UPPER($E35),$H35,0)))</x:f>
      </x:c>
    </x:row>
    <x:row r="36">
      <x:c r="A36" s="11" t="n"/>
      <x:c r="B36" s="10" t="n"/>
      <x:c r="C36" s="10" t="n"/>
      <x:c r="D36" s="10" t="n"/>
      <x:c r="E36" s="9">
        <x:f>IF($A36="","",INDEX(Results!$A$6:$Z$500,MATCH($A36,Results!$A$6:$A$500,0),MATCH(VLOOKUP($C36,Questions!$A$6:$G$200,3,FALSE),Results!$A$5:$Z$5,0)))</x:f>
      </x:c>
      <x:c r="F36" s="9">
        <x:f>IF($C36="","",VLOOKUP($C36,Questions!$A$6:$G$200,4,FALSE))</x:f>
      </x:c>
      <x:c r="G36" s="14">
        <x:f>IF($C36="","",VLOOKUP($C36,Questions!$A$6:$G$200,5,FALSE))</x:f>
      </x:c>
      <x:c r="H36" s="15">
        <x:f>IF($C36="","",VLOOKUP($C36,Questions!$A$6:$G$200,6,FALSE))</x:f>
      </x:c>
      <x:c r="I36" s="15">
        <x:f>IF($A36="","",IF($F36="numeric",IF(ABS($D36-$E36)&lt;=$G36,$H36,0),IF(UPPER($D36)=UPPER($E36),$H36,0)))</x:f>
      </x:c>
    </x:row>
    <x:row r="37">
      <x:c r="A37" s="11" t="n"/>
      <x:c r="B37" s="10" t="n"/>
      <x:c r="C37" s="10" t="n"/>
      <x:c r="D37" s="10" t="n"/>
      <x:c r="E37" s="9">
        <x:f>IF($A37="","",INDEX(Results!$A$6:$Z$500,MATCH($A37,Results!$A$6:$A$500,0),MATCH(VLOOKUP($C37,Questions!$A$6:$G$200,3,FALSE),Results!$A$5:$Z$5,0)))</x:f>
      </x:c>
      <x:c r="F37" s="9">
        <x:f>IF($C37="","",VLOOKUP($C37,Questions!$A$6:$G$200,4,FALSE))</x:f>
      </x:c>
      <x:c r="G37" s="14">
        <x:f>IF($C37="","",VLOOKUP($C37,Questions!$A$6:$G$200,5,FALSE))</x:f>
      </x:c>
      <x:c r="H37" s="15">
        <x:f>IF($C37="","",VLOOKUP($C37,Questions!$A$6:$G$200,6,FALSE))</x:f>
      </x:c>
      <x:c r="I37" s="15">
        <x:f>IF($A37="","",IF($F37="numeric",IF(ABS($D37-$E37)&lt;=$G37,$H37,0),IF(UPPER($D37)=UPPER($E37),$H37,0)))</x:f>
      </x:c>
    </x:row>
    <x:row r="38">
      <x:c r="A38" s="11" t="n"/>
      <x:c r="B38" s="10" t="n"/>
      <x:c r="C38" s="10" t="n"/>
      <x:c r="D38" s="10" t="n"/>
      <x:c r="E38" s="9">
        <x:f>IF($A38="","",INDEX(Results!$A$6:$Z$500,MATCH($A38,Results!$A$6:$A$500,0),MATCH(VLOOKUP($C38,Questions!$A$6:$G$200,3,FALSE),Results!$A$5:$Z$5,0)))</x:f>
      </x:c>
      <x:c r="F38" s="9">
        <x:f>IF($C38="","",VLOOKUP($C38,Questions!$A$6:$G$200,4,FALSE))</x:f>
      </x:c>
      <x:c r="G38" s="14">
        <x:f>IF($C38="","",VLOOKUP($C38,Questions!$A$6:$G$200,5,FALSE))</x:f>
      </x:c>
      <x:c r="H38" s="15">
        <x:f>IF($C38="","",VLOOKUP($C38,Questions!$A$6:$G$200,6,FALSE))</x:f>
      </x:c>
      <x:c r="I38" s="15">
        <x:f>IF($A38="","",IF($F38="numeric",IF(ABS($D38-$E38)&lt;=$G38,$H38,0),IF(UPPER($D38)=UPPER($E38),$H38,0)))</x:f>
      </x:c>
    </x:row>
    <x:row r="39">
      <x:c r="A39" s="11" t="n"/>
      <x:c r="B39" s="10" t="n"/>
      <x:c r="C39" s="10" t="n"/>
      <x:c r="D39" s="10" t="n"/>
      <x:c r="E39" s="9">
        <x:f>IF($A39="","",INDEX(Results!$A$6:$Z$500,MATCH($A39,Results!$A$6:$A$500,0),MATCH(VLOOKUP($C39,Questions!$A$6:$G$200,3,FALSE),Results!$A$5:$Z$5,0)))</x:f>
      </x:c>
      <x:c r="F39" s="9">
        <x:f>IF($C39="","",VLOOKUP($C39,Questions!$A$6:$G$200,4,FALSE))</x:f>
      </x:c>
      <x:c r="G39" s="14">
        <x:f>IF($C39="","",VLOOKUP($C39,Questions!$A$6:$G$200,5,FALSE))</x:f>
      </x:c>
      <x:c r="H39" s="15">
        <x:f>IF($C39="","",VLOOKUP($C39,Questions!$A$6:$G$200,6,FALSE))</x:f>
      </x:c>
      <x:c r="I39" s="15">
        <x:f>IF($A39="","",IF($F39="numeric",IF(ABS($D39-$E39)&lt;=$G39,$H39,0),IF(UPPER($D39)=UPPER($E39),$H39,0)))</x:f>
      </x:c>
    </x:row>
    <x:row r="40">
      <x:c r="A40" s="11" t="n"/>
      <x:c r="B40" s="10" t="n"/>
      <x:c r="C40" s="10" t="n"/>
      <x:c r="D40" s="10" t="n"/>
      <x:c r="E40" s="9">
        <x:f>IF($A40="","",INDEX(Results!$A$6:$Z$500,MATCH($A40,Results!$A$6:$A$500,0),MATCH(VLOOKUP($C40,Questions!$A$6:$G$200,3,FALSE),Results!$A$5:$Z$5,0)))</x:f>
      </x:c>
      <x:c r="F40" s="9">
        <x:f>IF($C40="","",VLOOKUP($C40,Questions!$A$6:$G$200,4,FALSE))</x:f>
      </x:c>
      <x:c r="G40" s="14">
        <x:f>IF($C40="","",VLOOKUP($C40,Questions!$A$6:$G$200,5,FALSE))</x:f>
      </x:c>
      <x:c r="H40" s="15">
        <x:f>IF($C40="","",VLOOKUP($C40,Questions!$A$6:$G$200,6,FALSE))</x:f>
      </x:c>
      <x:c r="I40" s="15">
        <x:f>IF($A40="","",IF($F40="numeric",IF(ABS($D40-$E40)&lt;=$G40,$H40,0),IF(UPPER($D40)=UPPER($E40),$H40,0)))</x:f>
      </x:c>
    </x:row>
    <x:row r="41">
      <x:c r="A41" s="11" t="n"/>
      <x:c r="B41" s="10" t="n"/>
      <x:c r="C41" s="10" t="n"/>
      <x:c r="D41" s="10" t="n"/>
      <x:c r="E41" s="9">
        <x:f>IF($A41="","",INDEX(Results!$A$6:$Z$500,MATCH($A41,Results!$A$6:$A$500,0),MATCH(VLOOKUP($C41,Questions!$A$6:$G$200,3,FALSE),Results!$A$5:$Z$5,0)))</x:f>
      </x:c>
      <x:c r="F41" s="9">
        <x:f>IF($C41="","",VLOOKUP($C41,Questions!$A$6:$G$200,4,FALSE))</x:f>
      </x:c>
      <x:c r="G41" s="14">
        <x:f>IF($C41="","",VLOOKUP($C41,Questions!$A$6:$G$200,5,FALSE))</x:f>
      </x:c>
      <x:c r="H41" s="15">
        <x:f>IF($C41="","",VLOOKUP($C41,Questions!$A$6:$G$200,6,FALSE))</x:f>
      </x:c>
      <x:c r="I41" s="15">
        <x:f>IF($A41="","",IF($F41="numeric",IF(ABS($D41-$E41)&lt;=$G41,$H41,0),IF(UPPER($D41)=UPPER($E41),$H41,0)))</x:f>
      </x:c>
    </x:row>
    <x:row r="42">
      <x:c r="A42" s="11" t="n"/>
      <x:c r="B42" s="10" t="n"/>
      <x:c r="C42" s="10" t="n"/>
      <x:c r="D42" s="10" t="n"/>
      <x:c r="E42" s="9">
        <x:f>IF($A42="","",INDEX(Results!$A$6:$Z$500,MATCH($A42,Results!$A$6:$A$500,0),MATCH(VLOOKUP($C42,Questions!$A$6:$G$200,3,FALSE),Results!$A$5:$Z$5,0)))</x:f>
      </x:c>
      <x:c r="F42" s="9">
        <x:f>IF($C42="","",VLOOKUP($C42,Questions!$A$6:$G$200,4,FALSE))</x:f>
      </x:c>
      <x:c r="G42" s="14">
        <x:f>IF($C42="","",VLOOKUP($C42,Questions!$A$6:$G$200,5,FALSE))</x:f>
      </x:c>
      <x:c r="H42" s="15">
        <x:f>IF($C42="","",VLOOKUP($C42,Questions!$A$6:$G$200,6,FALSE))</x:f>
      </x:c>
      <x:c r="I42" s="15">
        <x:f>IF($A42="","",IF($F42="numeric",IF(ABS($D42-$E42)&lt;=$G42,$H42,0),IF(UPPER($D42)=UPPER($E42),$H42,0)))</x:f>
      </x:c>
    </x:row>
    <x:row r="43">
      <x:c r="A43" s="11" t="n"/>
      <x:c r="B43" s="10" t="n"/>
      <x:c r="C43" s="10" t="n"/>
      <x:c r="D43" s="10" t="n"/>
      <x:c r="E43" s="9">
        <x:f>IF($A43="","",INDEX(Results!$A$6:$Z$500,MATCH($A43,Results!$A$6:$A$500,0),MATCH(VLOOKUP($C43,Questions!$A$6:$G$200,3,FALSE),Results!$A$5:$Z$5,0)))</x:f>
      </x:c>
      <x:c r="F43" s="9">
        <x:f>IF($C43="","",VLOOKUP($C43,Questions!$A$6:$G$200,4,FALSE))</x:f>
      </x:c>
      <x:c r="G43" s="14">
        <x:f>IF($C43="","",VLOOKUP($C43,Questions!$A$6:$G$200,5,FALSE))</x:f>
      </x:c>
      <x:c r="H43" s="15">
        <x:f>IF($C43="","",VLOOKUP($C43,Questions!$A$6:$G$200,6,FALSE))</x:f>
      </x:c>
      <x:c r="I43" s="15">
        <x:f>IF($A43="","",IF($F43="numeric",IF(ABS($D43-$E43)&lt;=$G43,$H43,0),IF(UPPER($D43)=UPPER($E43),$H43,0)))</x:f>
      </x:c>
    </x:row>
    <x:row r="44">
      <x:c r="A44" s="11" t="n"/>
      <x:c r="B44" s="10" t="n"/>
      <x:c r="C44" s="10" t="n"/>
      <x:c r="D44" s="10" t="n"/>
      <x:c r="E44" s="9">
        <x:f>IF($A44="","",INDEX(Results!$A$6:$Z$500,MATCH($A44,Results!$A$6:$A$500,0),MATCH(VLOOKUP($C44,Questions!$A$6:$G$200,3,FALSE),Results!$A$5:$Z$5,0)))</x:f>
      </x:c>
      <x:c r="F44" s="9">
        <x:f>IF($C44="","",VLOOKUP($C44,Questions!$A$6:$G$200,4,FALSE))</x:f>
      </x:c>
      <x:c r="G44" s="14">
        <x:f>IF($C44="","",VLOOKUP($C44,Questions!$A$6:$G$200,5,FALSE))</x:f>
      </x:c>
      <x:c r="H44" s="15">
        <x:f>IF($C44="","",VLOOKUP($C44,Questions!$A$6:$G$200,6,FALSE))</x:f>
      </x:c>
      <x:c r="I44" s="15">
        <x:f>IF($A44="","",IF($F44="numeric",IF(ABS($D44-$E44)&lt;=$G44,$H44,0),IF(UPPER($D44)=UPPER($E44),$H44,0)))</x:f>
      </x:c>
    </x:row>
    <x:row r="45">
      <x:c r="A45" s="11" t="n"/>
      <x:c r="B45" s="10" t="n"/>
      <x:c r="C45" s="10" t="n"/>
      <x:c r="D45" s="10" t="n"/>
      <x:c r="E45" s="9">
        <x:f>IF($A45="","",INDEX(Results!$A$6:$Z$500,MATCH($A45,Results!$A$6:$A$500,0),MATCH(VLOOKUP($C45,Questions!$A$6:$G$200,3,FALSE),Results!$A$5:$Z$5,0)))</x:f>
      </x:c>
      <x:c r="F45" s="9">
        <x:f>IF($C45="","",VLOOKUP($C45,Questions!$A$6:$G$200,4,FALSE))</x:f>
      </x:c>
      <x:c r="G45" s="14">
        <x:f>IF($C45="","",VLOOKUP($C45,Questions!$A$6:$G$200,5,FALSE))</x:f>
      </x:c>
      <x:c r="H45" s="15">
        <x:f>IF($C45="","",VLOOKUP($C45,Questions!$A$6:$G$200,6,FALSE))</x:f>
      </x:c>
      <x:c r="I45" s="15">
        <x:f>IF($A45="","",IF($F45="numeric",IF(ABS($D45-$E45)&lt;=$G45,$H45,0),IF(UPPER($D45)=UPPER($E45),$H45,0)))</x:f>
      </x:c>
    </x:row>
    <x:row r="46">
      <x:c r="A46" s="11" t="n"/>
      <x:c r="B46" s="10" t="n"/>
      <x:c r="C46" s="10" t="n"/>
      <x:c r="D46" s="10" t="n"/>
      <x:c r="E46" s="9">
        <x:f>IF($A46="","",INDEX(Results!$A$6:$Z$500,MATCH($A46,Results!$A$6:$A$500,0),MATCH(VLOOKUP($C46,Questions!$A$6:$G$200,3,FALSE),Results!$A$5:$Z$5,0)))</x:f>
      </x:c>
      <x:c r="F46" s="9">
        <x:f>IF($C46="","",VLOOKUP($C46,Questions!$A$6:$G$200,4,FALSE))</x:f>
      </x:c>
      <x:c r="G46" s="14">
        <x:f>IF($C46="","",VLOOKUP($C46,Questions!$A$6:$G$200,5,FALSE))</x:f>
      </x:c>
      <x:c r="H46" s="15">
        <x:f>IF($C46="","",VLOOKUP($C46,Questions!$A$6:$G$200,6,FALSE))</x:f>
      </x:c>
      <x:c r="I46" s="15">
        <x:f>IF($A46="","",IF($F46="numeric",IF(ABS($D46-$E46)&lt;=$G46,$H46,0),IF(UPPER($D46)=UPPER($E46),$H46,0)))</x:f>
      </x:c>
    </x:row>
    <x:row r="47">
      <x:c r="A47" s="11" t="n"/>
      <x:c r="B47" s="10" t="n"/>
      <x:c r="C47" s="10" t="n"/>
      <x:c r="D47" s="10" t="n"/>
      <x:c r="E47" s="9">
        <x:f>IF($A47="","",INDEX(Results!$A$6:$Z$500,MATCH($A47,Results!$A$6:$A$500,0),MATCH(VLOOKUP($C47,Questions!$A$6:$G$200,3,FALSE),Results!$A$5:$Z$5,0)))</x:f>
      </x:c>
      <x:c r="F47" s="9">
        <x:f>IF($C47="","",VLOOKUP($C47,Questions!$A$6:$G$200,4,FALSE))</x:f>
      </x:c>
      <x:c r="G47" s="14">
        <x:f>IF($C47="","",VLOOKUP($C47,Questions!$A$6:$G$200,5,FALSE))</x:f>
      </x:c>
      <x:c r="H47" s="15">
        <x:f>IF($C47="","",VLOOKUP($C47,Questions!$A$6:$G$200,6,FALSE))</x:f>
      </x:c>
      <x:c r="I47" s="15">
        <x:f>IF($A47="","",IF($F47="numeric",IF(ABS($D47-$E47)&lt;=$G47,$H47,0),IF(UPPER($D47)=UPPER($E47),$H47,0)))</x:f>
      </x:c>
    </x:row>
    <x:row r="48">
      <x:c r="A48" s="11" t="n"/>
      <x:c r="B48" s="10" t="n"/>
      <x:c r="C48" s="10" t="n"/>
      <x:c r="D48" s="10" t="n"/>
      <x:c r="E48" s="9">
        <x:f>IF($A48="","",INDEX(Results!$A$6:$Z$500,MATCH($A48,Results!$A$6:$A$500,0),MATCH(VLOOKUP($C48,Questions!$A$6:$G$200,3,FALSE),Results!$A$5:$Z$5,0)))</x:f>
      </x:c>
      <x:c r="F48" s="9">
        <x:f>IF($C48="","",VLOOKUP($C48,Questions!$A$6:$G$200,4,FALSE))</x:f>
      </x:c>
      <x:c r="G48" s="14">
        <x:f>IF($C48="","",VLOOKUP($C48,Questions!$A$6:$G$200,5,FALSE))</x:f>
      </x:c>
      <x:c r="H48" s="15">
        <x:f>IF($C48="","",VLOOKUP($C48,Questions!$A$6:$G$200,6,FALSE))</x:f>
      </x:c>
      <x:c r="I48" s="15">
        <x:f>IF($A48="","",IF($F48="numeric",IF(ABS($D48-$E48)&lt;=$G48,$H48,0),IF(UPPER($D48)=UPPER($E48),$H48,0)))</x:f>
      </x:c>
    </x:row>
    <x:row r="49">
      <x:c r="A49" s="11" t="n"/>
      <x:c r="B49" s="10" t="n"/>
      <x:c r="C49" s="10" t="n"/>
      <x:c r="D49" s="10" t="n"/>
      <x:c r="E49" s="9">
        <x:f>IF($A49="","",INDEX(Results!$A$6:$Z$500,MATCH($A49,Results!$A$6:$A$500,0),MATCH(VLOOKUP($C49,Questions!$A$6:$G$200,3,FALSE),Results!$A$5:$Z$5,0)))</x:f>
      </x:c>
      <x:c r="F49" s="9">
        <x:f>IF($C49="","",VLOOKUP($C49,Questions!$A$6:$G$200,4,FALSE))</x:f>
      </x:c>
      <x:c r="G49" s="14">
        <x:f>IF($C49="","",VLOOKUP($C49,Questions!$A$6:$G$200,5,FALSE))</x:f>
      </x:c>
      <x:c r="H49" s="15">
        <x:f>IF($C49="","",VLOOKUP($C49,Questions!$A$6:$G$200,6,FALSE))</x:f>
      </x:c>
      <x:c r="I49" s="15">
        <x:f>IF($A49="","",IF($F49="numeric",IF(ABS($D49-$E49)&lt;=$G49,$H49,0),IF(UPPER($D49)=UPPER($E49),$H49,0)))</x:f>
      </x:c>
    </x:row>
    <x:row r="50">
      <x:c r="A50" s="11" t="n"/>
      <x:c r="B50" s="10" t="n"/>
      <x:c r="C50" s="10" t="n"/>
      <x:c r="D50" s="10" t="n"/>
      <x:c r="E50" s="9">
        <x:f>IF($A50="","",INDEX(Results!$A$6:$Z$500,MATCH($A50,Results!$A$6:$A$500,0),MATCH(VLOOKUP($C50,Questions!$A$6:$G$200,3,FALSE),Results!$A$5:$Z$5,0)))</x:f>
      </x:c>
      <x:c r="F50" s="9">
        <x:f>IF($C50="","",VLOOKUP($C50,Questions!$A$6:$G$200,4,FALSE))</x:f>
      </x:c>
      <x:c r="G50" s="14">
        <x:f>IF($C50="","",VLOOKUP($C50,Questions!$A$6:$G$200,5,FALSE))</x:f>
      </x:c>
      <x:c r="H50" s="15">
        <x:f>IF($C50="","",VLOOKUP($C50,Questions!$A$6:$G$200,6,FALSE))</x:f>
      </x:c>
      <x:c r="I50" s="15">
        <x:f>IF($A50="","",IF($F50="numeric",IF(ABS($D50-$E50)&lt;=$G50,$H50,0),IF(UPPER($D50)=UPPER($E50),$H50,0)))</x:f>
      </x:c>
    </x:row>
    <x:row r="51">
      <x:c r="A51" s="11" t="n"/>
      <x:c r="B51" s="10" t="n"/>
      <x:c r="C51" s="10" t="n"/>
      <x:c r="D51" s="10" t="n"/>
      <x:c r="E51" s="9">
        <x:f>IF($A51="","",INDEX(Results!$A$6:$Z$500,MATCH($A51,Results!$A$6:$A$500,0),MATCH(VLOOKUP($C51,Questions!$A$6:$G$200,3,FALSE),Results!$A$5:$Z$5,0)))</x:f>
      </x:c>
      <x:c r="F51" s="9">
        <x:f>IF($C51="","",VLOOKUP($C51,Questions!$A$6:$G$200,4,FALSE))</x:f>
      </x:c>
      <x:c r="G51" s="14">
        <x:f>IF($C51="","",VLOOKUP($C51,Questions!$A$6:$G$200,5,FALSE))</x:f>
      </x:c>
      <x:c r="H51" s="15">
        <x:f>IF($C51="","",VLOOKUP($C51,Questions!$A$6:$G$200,6,FALSE))</x:f>
      </x:c>
      <x:c r="I51" s="15">
        <x:f>IF($A51="","",IF($F51="numeric",IF(ABS($D51-$E51)&lt;=$G51,$H51,0),IF(UPPER($D51)=UPPER($E51),$H51,0)))</x:f>
      </x:c>
    </x:row>
    <x:row r="52">
      <x:c r="A52" s="11" t="n"/>
      <x:c r="B52" s="10" t="n"/>
      <x:c r="C52" s="10" t="n"/>
      <x:c r="D52" s="10" t="n"/>
      <x:c r="E52" s="9">
        <x:f>IF($A52="","",INDEX(Results!$A$6:$Z$500,MATCH($A52,Results!$A$6:$A$500,0),MATCH(VLOOKUP($C52,Questions!$A$6:$G$200,3,FALSE),Results!$A$5:$Z$5,0)))</x:f>
      </x:c>
      <x:c r="F52" s="9">
        <x:f>IF($C52="","",VLOOKUP($C52,Questions!$A$6:$G$200,4,FALSE))</x:f>
      </x:c>
      <x:c r="G52" s="14">
        <x:f>IF($C52="","",VLOOKUP($C52,Questions!$A$6:$G$200,5,FALSE))</x:f>
      </x:c>
      <x:c r="H52" s="15">
        <x:f>IF($C52="","",VLOOKUP($C52,Questions!$A$6:$G$200,6,FALSE))</x:f>
      </x:c>
      <x:c r="I52" s="15">
        <x:f>IF($A52="","",IF($F52="numeric",IF(ABS($D52-$E52)&lt;=$G52,$H52,0),IF(UPPER($D52)=UPPER($E52),$H52,0)))</x:f>
      </x:c>
    </x:row>
    <x:row r="53">
      <x:c r="A53" s="11" t="n"/>
      <x:c r="B53" s="10" t="n"/>
      <x:c r="C53" s="10" t="n"/>
      <x:c r="D53" s="10" t="n"/>
      <x:c r="E53" s="9">
        <x:f>IF($A53="","",INDEX(Results!$A$6:$Z$500,MATCH($A53,Results!$A$6:$A$500,0),MATCH(VLOOKUP($C53,Questions!$A$6:$G$200,3,FALSE),Results!$A$5:$Z$5,0)))</x:f>
      </x:c>
      <x:c r="F53" s="9">
        <x:f>IF($C53="","",VLOOKUP($C53,Questions!$A$6:$G$200,4,FALSE))</x:f>
      </x:c>
      <x:c r="G53" s="14">
        <x:f>IF($C53="","",VLOOKUP($C53,Questions!$A$6:$G$200,5,FALSE))</x:f>
      </x:c>
      <x:c r="H53" s="15">
        <x:f>IF($C53="","",VLOOKUP($C53,Questions!$A$6:$G$200,6,FALSE))</x:f>
      </x:c>
      <x:c r="I53" s="15">
        <x:f>IF($A53="","",IF($F53="numeric",IF(ABS($D53-$E53)&lt;=$G53,$H53,0),IF(UPPER($D53)=UPPER($E53),$H53,0)))</x:f>
      </x:c>
    </x:row>
    <x:row r="54">
      <x:c r="A54" s="11" t="n"/>
      <x:c r="B54" s="10" t="n"/>
      <x:c r="C54" s="10" t="n"/>
      <x:c r="D54" s="10" t="n"/>
      <x:c r="E54" s="9">
        <x:f>IF($A54="","",INDEX(Results!$A$6:$Z$500,MATCH($A54,Results!$A$6:$A$500,0),MATCH(VLOOKUP($C54,Questions!$A$6:$G$200,3,FALSE),Results!$A$5:$Z$5,0)))</x:f>
      </x:c>
      <x:c r="F54" s="9">
        <x:f>IF($C54="","",VLOOKUP($C54,Questions!$A$6:$G$200,4,FALSE))</x:f>
      </x:c>
      <x:c r="G54" s="14">
        <x:f>IF($C54="","",VLOOKUP($C54,Questions!$A$6:$G$200,5,FALSE))</x:f>
      </x:c>
      <x:c r="H54" s="15">
        <x:f>IF($C54="","",VLOOKUP($C54,Questions!$A$6:$G$200,6,FALSE))</x:f>
      </x:c>
      <x:c r="I54" s="15">
        <x:f>IF($A54="","",IF($F54="numeric",IF(ABS($D54-$E54)&lt;=$G54,$H54,0),IF(UPPER($D54)=UPPER($E54),$H54,0)))</x:f>
      </x:c>
    </x:row>
    <x:row r="55">
      <x:c r="A55" s="11" t="n"/>
      <x:c r="B55" s="10" t="n"/>
      <x:c r="C55" s="10" t="n"/>
      <x:c r="D55" s="10" t="n"/>
      <x:c r="E55" s="9">
        <x:f>IF($A55="","",INDEX(Results!$A$6:$Z$500,MATCH($A55,Results!$A$6:$A$500,0),MATCH(VLOOKUP($C55,Questions!$A$6:$G$200,3,FALSE),Results!$A$5:$Z$5,0)))</x:f>
      </x:c>
      <x:c r="F55" s="9">
        <x:f>IF($C55="","",VLOOKUP($C55,Questions!$A$6:$G$200,4,FALSE))</x:f>
      </x:c>
      <x:c r="G55" s="14">
        <x:f>IF($C55="","",VLOOKUP($C55,Questions!$A$6:$G$200,5,FALSE))</x:f>
      </x:c>
      <x:c r="H55" s="15">
        <x:f>IF($C55="","",VLOOKUP($C55,Questions!$A$6:$G$200,6,FALSE))</x:f>
      </x:c>
      <x:c r="I55" s="15">
        <x:f>IF($A55="","",IF($F55="numeric",IF(ABS($D55-$E55)&lt;=$G55,$H55,0),IF(UPPER($D55)=UPPER($E55),$H55,0)))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20" customWidth="1"/>
    <x:col min="3" max="3" width="22" customWidth="1"/>
    <x:col min="4" max="4" width="10" customWidth="1"/>
    <x:col min="5" max="5" width="10" customWidth="1"/>
    <x:col min="6" max="6" width="6" customWidth="1"/>
    <x:col min="7" max="7" width="6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6" customWidth="1"/>
    <x:col min="18" max="18" width="10" customWidth="1"/>
  </x:cols>
  <x:sheetData>
    <x:row r="1">
      <x:c r="A1" s="1" t="inlineStr">
        <x:is>
          <x:t xml:space="preserve">Per-Player Stats (paste/import here for each game)</x:t>
        </x:is>
      </x:c>
    </x:row>
    <x:row r="3">
      <x:c r="A3" s="8" t="inlineStr">
        <x:is>
          <x:t xml:space="preserve">Enter one row per player per game. Points are calculated from Pick_Scoring.</x:t>
        </x:is>
      </x:c>
    </x:row>
    <x:row r="5" ht="22" customHeight="1">
      <x:c r="A5" s="5" t="inlineStr">
        <x:is>
          <x:t xml:space="preserve">Key</x:t>
        </x:is>
      </x:c>
      <x:c r="B5" s="5" t="inlineStr">
        <x:is>
          <x:t xml:space="preserve">GameID</x:t>
        </x:is>
      </x:c>
      <x:c r="C5" s="5" t="inlineStr">
        <x:is>
          <x:t xml:space="preserve">PlayerName</x:t>
        </x:is>
      </x:c>
      <x:c r="D5" s="5" t="inlineStr">
        <x:is>
          <x:t xml:space="preserve">Team</x:t>
        </x:is>
      </x:c>
      <x:c r="E5" s="5" t="inlineStr">
        <x:is>
          <x:t xml:space="preserve">Role (P/B)</x:t>
        </x:is>
      </x:c>
      <x:c r="F5" s="5" t="inlineStr">
        <x:is>
          <x:t xml:space="preserve">H</x:t>
        </x:is>
      </x:c>
      <x:c r="G5" s="5" t="inlineStr">
        <x:is>
          <x:t xml:space="preserve">HR</x:t>
        </x:is>
      </x:c>
      <x:c r="H5" s="5" t="inlineStr">
        <x:is>
          <x:t xml:space="preserve">RBI</x:t>
        </x:is>
      </x:c>
      <x:c r="I5" s="5" t="inlineStr">
        <x:is>
          <x:t xml:space="preserve">R</x:t>
        </x:is>
      </x:c>
      <x:c r="J5" s="5" t="inlineStr">
        <x:is>
          <x:t xml:space="preserve">SB</x:t>
        </x:is>
      </x:c>
      <x:c r="K5" s="5" t="inlineStr">
        <x:is>
          <x:t xml:space="preserve">BB</x:t>
        </x:is>
      </x:c>
      <x:c r="L5" s="5" t="inlineStr">
        <x:is>
          <x:t xml:space="preserve">SO</x:t>
        </x:is>
      </x:c>
      <x:c r="M5" s="5" t="inlineStr">
        <x:is>
          <x:t xml:space="preserve">IP</x:t>
        </x:is>
      </x:c>
      <x:c r="N5" s="5" t="inlineStr">
        <x:is>
          <x:t xml:space="preserve">ER</x:t>
        </x:is>
      </x:c>
      <x:c r="O5" s="5" t="inlineStr">
        <x:is>
          <x:t xml:space="preserve">W</x:t>
        </x:is>
      </x:c>
      <x:c r="P5" s="5" t="inlineStr">
        <x:is>
          <x:t xml:space="preserve">SV</x:t>
        </x:is>
      </x:c>
      <x:c r="Q5" s="5" t="inlineStr">
        <x:is>
          <x:t xml:space="preserve">K</x:t>
        </x:is>
      </x:c>
      <x:c r="R5" s="5" t="inlineStr">
        <x:is>
          <x:t xml:space="preserve">Points</x:t>
        </x:is>
      </x:c>
    </x:row>
    <x:row r="6">
      <x:c r="A6" s="9">
        <x:f>IF($B6="","",$B6&amp;"|"&amp;$C6)</x:f>
      </x:c>
      <x:c r="B6" s="10" t="n"/>
      <x:c r="C6" s="11" t="n"/>
      <x:c r="D6" s="10" t="n"/>
      <x:c r="E6" s="10" t="n"/>
      <x:c r="F6" s="10" t="n"/>
      <x:c r="G6" s="10" t="n"/>
      <x:c r="H6" s="10" t="n"/>
      <x:c r="I6" s="10" t="n"/>
      <x:c r="J6" s="10" t="n"/>
      <x:c r="K6" s="10" t="n"/>
      <x:c r="L6" s="10" t="n"/>
      <x:c r="M6" s="10" t="n"/>
      <x:c r="N6" s="10" t="n"/>
      <x:c r="O6" s="10" t="n"/>
      <x:c r="P6" s="10" t="n"/>
      <x:c r="Q6" s="10" t="n"/>
      <x:c r="R6" s="14">
        <x:f>IF($B6="","",IF($E6="P",($M6*Pick_Scoring!$B$6)+($Q6*Pick_Scoring!$B$7)+($O6*Pick_Scoring!$B$8)+($P6*Pick_Scoring!$B$9)-($N6*Pick_Scoring!$B$10),($F6*Pick_Scoring!$B$15)+($G6*Pick_Scoring!$B$16)+($H6*Pick_Scoring!$B$17)+($I6*Pick_Scoring!$B$18)+($J6*Pick_Scoring!$B$19)+($K6*Pick_Scoring!$B$20)-($L6*Pick_Scoring!$B$21)))</x:f>
      </x:c>
    </x:row>
    <x:row r="7">
      <x:c r="A7" s="9">
        <x:f>IF($B7="","",$B7&amp;"|"&amp;$C7)</x:f>
      </x:c>
      <x:c r="B7" s="10" t="n"/>
      <x:c r="C7" s="11" t="n"/>
      <x:c r="D7" s="10" t="n"/>
      <x:c r="E7" s="10" t="n"/>
      <x:c r="F7" s="10" t="n"/>
      <x:c r="G7" s="10" t="n"/>
      <x:c r="H7" s="10" t="n"/>
      <x:c r="I7" s="10" t="n"/>
      <x:c r="J7" s="10" t="n"/>
      <x:c r="K7" s="10" t="n"/>
      <x:c r="L7" s="10" t="n"/>
      <x:c r="M7" s="10" t="n"/>
      <x:c r="N7" s="10" t="n"/>
      <x:c r="O7" s="10" t="n"/>
      <x:c r="P7" s="10" t="n"/>
      <x:c r="Q7" s="10" t="n"/>
      <x:c r="R7" s="14">
        <x:f>IF($B7="","",IF($E7="P",($M7*Pick_Scoring!$B$6)+($Q7*Pick_Scoring!$B$7)+($O7*Pick_Scoring!$B$8)+($P7*Pick_Scoring!$B$9)-($N7*Pick_Scoring!$B$10),($F7*Pick_Scoring!$B$15)+($G7*Pick_Scoring!$B$16)+($H7*Pick_Scoring!$B$17)+($I7*Pick_Scoring!$B$18)+($J7*Pick_Scoring!$B$19)+($K7*Pick_Scoring!$B$20)-($L7*Pick_Scoring!$B$21)))</x:f>
      </x:c>
    </x:row>
    <x:row r="8">
      <x:c r="A8" s="9">
        <x:f>IF($B8="","",$B8&amp;"|"&amp;$C8)</x:f>
      </x:c>
      <x:c r="B8" s="10" t="n"/>
      <x:c r="C8" s="11" t="n"/>
      <x:c r="D8" s="10" t="n"/>
      <x:c r="E8" s="10" t="n"/>
      <x:c r="F8" s="10" t="n"/>
      <x:c r="G8" s="10" t="n"/>
      <x:c r="H8" s="10" t="n"/>
      <x:c r="I8" s="10" t="n"/>
      <x:c r="J8" s="10" t="n"/>
      <x:c r="K8" s="10" t="n"/>
      <x:c r="L8" s="10" t="n"/>
      <x:c r="M8" s="10" t="n"/>
      <x:c r="N8" s="10" t="n"/>
      <x:c r="O8" s="10" t="n"/>
      <x:c r="P8" s="10" t="n"/>
      <x:c r="Q8" s="10" t="n"/>
      <x:c r="R8" s="14">
        <x:f>IF($B8="","",IF($E8="P",($M8*Pick_Scoring!$B$6)+($Q8*Pick_Scoring!$B$7)+($O8*Pick_Scoring!$B$8)+($P8*Pick_Scoring!$B$9)-($N8*Pick_Scoring!$B$10),($F8*Pick_Scoring!$B$15)+($G8*Pick_Scoring!$B$16)+($H8*Pick_Scoring!$B$17)+($I8*Pick_Scoring!$B$18)+($J8*Pick_Scoring!$B$19)+($K8*Pick_Scoring!$B$20)-($L8*Pick_Scoring!$B$21)))</x:f>
      </x:c>
    </x:row>
    <x:row r="9">
      <x:c r="A9" s="9">
        <x:f>IF($B9="","",$B9&amp;"|"&amp;$C9)</x:f>
      </x:c>
      <x:c r="B9" s="10" t="n"/>
      <x:c r="C9" s="11" t="n"/>
      <x:c r="D9" s="10" t="n"/>
      <x:c r="E9" s="10" t="n"/>
      <x:c r="F9" s="10" t="n"/>
      <x:c r="G9" s="10" t="n"/>
      <x:c r="H9" s="10" t="n"/>
      <x:c r="I9" s="10" t="n"/>
      <x:c r="J9" s="10" t="n"/>
      <x:c r="K9" s="10" t="n"/>
      <x:c r="L9" s="10" t="n"/>
      <x:c r="M9" s="10" t="n"/>
      <x:c r="N9" s="10" t="n"/>
      <x:c r="O9" s="10" t="n"/>
      <x:c r="P9" s="10" t="n"/>
      <x:c r="Q9" s="10" t="n"/>
      <x:c r="R9" s="14">
        <x:f>IF($B9="","",IF($E9="P",($M9*Pick_Scoring!$B$6)+($Q9*Pick_Scoring!$B$7)+($O9*Pick_Scoring!$B$8)+($P9*Pick_Scoring!$B$9)-($N9*Pick_Scoring!$B$10),($F9*Pick_Scoring!$B$15)+($G9*Pick_Scoring!$B$16)+($H9*Pick_Scoring!$B$17)+($I9*Pick_Scoring!$B$18)+($J9*Pick_Scoring!$B$19)+($K9*Pick_Scoring!$B$20)-($L9*Pick_Scoring!$B$21)))</x:f>
      </x:c>
    </x:row>
    <x:row r="10">
      <x:c r="A10" s="9">
        <x:f>IF($B10="","",$B10&amp;"|"&amp;$C10)</x:f>
      </x:c>
      <x:c r="B10" s="10" t="n"/>
      <x:c r="C10" s="11" t="n"/>
      <x:c r="D10" s="10" t="n"/>
      <x:c r="E10" s="10" t="n"/>
      <x:c r="F10" s="10" t="n"/>
      <x:c r="G10" s="10" t="n"/>
      <x:c r="H10" s="10" t="n"/>
      <x:c r="I10" s="10" t="n"/>
      <x:c r="J10" s="10" t="n"/>
      <x:c r="K10" s="10" t="n"/>
      <x:c r="L10" s="10" t="n"/>
      <x:c r="M10" s="10" t="n"/>
      <x:c r="N10" s="10" t="n"/>
      <x:c r="O10" s="10" t="n"/>
      <x:c r="P10" s="10" t="n"/>
      <x:c r="Q10" s="10" t="n"/>
      <x:c r="R10" s="14">
        <x:f>IF($B10="","",IF($E10="P",($M10*Pick_Scoring!$B$6)+($Q10*Pick_Scoring!$B$7)+($O10*Pick_Scoring!$B$8)+($P10*Pick_Scoring!$B$9)-($N10*Pick_Scoring!$B$10),($F10*Pick_Scoring!$B$15)+($G10*Pick_Scoring!$B$16)+($H10*Pick_Scoring!$B$17)+($I10*Pick_Scoring!$B$18)+($J10*Pick_Scoring!$B$19)+($K10*Pick_Scoring!$B$20)-($L10*Pick_Scoring!$B$21)))</x:f>
      </x:c>
    </x:row>
    <x:row r="11">
      <x:c r="A11" s="9">
        <x:f>IF($B11="","",$B11&amp;"|"&amp;$C11)</x:f>
      </x:c>
      <x:c r="B11" s="10" t="n"/>
      <x:c r="C11" s="11" t="n"/>
      <x:c r="D11" s="10" t="n"/>
      <x:c r="E11" s="10" t="n"/>
      <x:c r="F11" s="10" t="n"/>
      <x:c r="G11" s="10" t="n"/>
      <x:c r="H11" s="10" t="n"/>
      <x:c r="I11" s="10" t="n"/>
      <x:c r="J11" s="10" t="n"/>
      <x:c r="K11" s="10" t="n"/>
      <x:c r="L11" s="10" t="n"/>
      <x:c r="M11" s="10" t="n"/>
      <x:c r="N11" s="10" t="n"/>
      <x:c r="O11" s="10" t="n"/>
      <x:c r="P11" s="10" t="n"/>
      <x:c r="Q11" s="10" t="n"/>
      <x:c r="R11" s="14">
        <x:f>IF($B11="","",IF($E11="P",($M11*Pick_Scoring!$B$6)+($Q11*Pick_Scoring!$B$7)+($O11*Pick_Scoring!$B$8)+($P11*Pick_Scoring!$B$9)-($N11*Pick_Scoring!$B$10),($F11*Pick_Scoring!$B$15)+($G11*Pick_Scoring!$B$16)+($H11*Pick_Scoring!$B$17)+($I11*Pick_Scoring!$B$18)+($J11*Pick_Scoring!$B$19)+($K11*Pick_Scoring!$B$20)-($L11*Pick_Scoring!$B$21)))</x:f>
      </x:c>
    </x:row>
    <x:row r="12">
      <x:c r="A12" s="9">
        <x:f>IF($B12="","",$B12&amp;"|"&amp;$C12)</x:f>
      </x:c>
      <x:c r="B12" s="10" t="n"/>
      <x:c r="C12" s="11" t="n"/>
      <x:c r="D12" s="10" t="n"/>
      <x:c r="E12" s="10" t="n"/>
      <x:c r="F12" s="10" t="n"/>
      <x:c r="G12" s="10" t="n"/>
      <x:c r="H12" s="10" t="n"/>
      <x:c r="I12" s="10" t="n"/>
      <x:c r="J12" s="10" t="n"/>
      <x:c r="K12" s="10" t="n"/>
      <x:c r="L12" s="10" t="n"/>
      <x:c r="M12" s="10" t="n"/>
      <x:c r="N12" s="10" t="n"/>
      <x:c r="O12" s="10" t="n"/>
      <x:c r="P12" s="10" t="n"/>
      <x:c r="Q12" s="10" t="n"/>
      <x:c r="R12" s="14">
        <x:f>IF($B12="","",IF($E12="P",($M12*Pick_Scoring!$B$6)+($Q12*Pick_Scoring!$B$7)+($O12*Pick_Scoring!$B$8)+($P12*Pick_Scoring!$B$9)-($N12*Pick_Scoring!$B$10),($F12*Pick_Scoring!$B$15)+($G12*Pick_Scoring!$B$16)+($H12*Pick_Scoring!$B$17)+($I12*Pick_Scoring!$B$18)+($J12*Pick_Scoring!$B$19)+($K12*Pick_Scoring!$B$20)-($L12*Pick_Scoring!$B$21)))</x:f>
      </x:c>
    </x:row>
    <x:row r="13">
      <x:c r="A13" s="9">
        <x:f>IF($B13="","",$B13&amp;"|"&amp;$C13)</x:f>
      </x:c>
      <x:c r="B13" s="10" t="n"/>
      <x:c r="C13" s="11" t="n"/>
      <x:c r="D13" s="10" t="n"/>
      <x:c r="E13" s="10" t="n"/>
      <x:c r="F13" s="10" t="n"/>
      <x:c r="G13" s="10" t="n"/>
      <x:c r="H13" s="10" t="n"/>
      <x:c r="I13" s="10" t="n"/>
      <x:c r="J13" s="10" t="n"/>
      <x:c r="K13" s="10" t="n"/>
      <x:c r="L13" s="10" t="n"/>
      <x:c r="M13" s="10" t="n"/>
      <x:c r="N13" s="10" t="n"/>
      <x:c r="O13" s="10" t="n"/>
      <x:c r="P13" s="10" t="n"/>
      <x:c r="Q13" s="10" t="n"/>
      <x:c r="R13" s="14">
        <x:f>IF($B13="","",IF($E13="P",($M13*Pick_Scoring!$B$6)+($Q13*Pick_Scoring!$B$7)+($O13*Pick_Scoring!$B$8)+($P13*Pick_Scoring!$B$9)-($N13*Pick_Scoring!$B$10),($F13*Pick_Scoring!$B$15)+($G13*Pick_Scoring!$B$16)+($H13*Pick_Scoring!$B$17)+($I13*Pick_Scoring!$B$18)+($J13*Pick_Scoring!$B$19)+($K13*Pick_Scoring!$B$20)-($L13*Pick_Scoring!$B$21)))</x:f>
      </x:c>
    </x:row>
    <x:row r="14">
      <x:c r="A14" s="9">
        <x:f>IF($B14="","",$B14&amp;"|"&amp;$C14)</x:f>
      </x:c>
      <x:c r="B14" s="10" t="n"/>
      <x:c r="C14" s="11" t="n"/>
      <x:c r="D14" s="10" t="n"/>
      <x:c r="E14" s="10" t="n"/>
      <x:c r="F14" s="10" t="n"/>
      <x:c r="G14" s="10" t="n"/>
      <x:c r="H14" s="10" t="n"/>
      <x:c r="I14" s="10" t="n"/>
      <x:c r="J14" s="10" t="n"/>
      <x:c r="K14" s="10" t="n"/>
      <x:c r="L14" s="10" t="n"/>
      <x:c r="M14" s="10" t="n"/>
      <x:c r="N14" s="10" t="n"/>
      <x:c r="O14" s="10" t="n"/>
      <x:c r="P14" s="10" t="n"/>
      <x:c r="Q14" s="10" t="n"/>
      <x:c r="R14" s="14">
        <x:f>IF($B14="","",IF($E14="P",($M14*Pick_Scoring!$B$6)+($Q14*Pick_Scoring!$B$7)+($O14*Pick_Scoring!$B$8)+($P14*Pick_Scoring!$B$9)-($N14*Pick_Scoring!$B$10),($F14*Pick_Scoring!$B$15)+($G14*Pick_Scoring!$B$16)+($H14*Pick_Scoring!$B$17)+($I14*Pick_Scoring!$B$18)+($J14*Pick_Scoring!$B$19)+($K14*Pick_Scoring!$B$20)-($L14*Pick_Scoring!$B$21)))</x:f>
      </x:c>
    </x:row>
    <x:row r="15">
      <x:c r="A15" s="9">
        <x:f>IF($B15="","",$B15&amp;"|"&amp;$C15)</x:f>
      </x:c>
      <x:c r="B15" s="10" t="n"/>
      <x:c r="C15" s="11" t="n"/>
      <x:c r="D15" s="10" t="n"/>
      <x:c r="E15" s="10" t="n"/>
      <x:c r="F15" s="10" t="n"/>
      <x:c r="G15" s="10" t="n"/>
      <x:c r="H15" s="10" t="n"/>
      <x:c r="I15" s="10" t="n"/>
      <x:c r="J15" s="10" t="n"/>
      <x:c r="K15" s="10" t="n"/>
      <x:c r="L15" s="10" t="n"/>
      <x:c r="M15" s="10" t="n"/>
      <x:c r="N15" s="10" t="n"/>
      <x:c r="O15" s="10" t="n"/>
      <x:c r="P15" s="10" t="n"/>
      <x:c r="Q15" s="10" t="n"/>
      <x:c r="R15" s="14">
        <x:f>IF($B15="","",IF($E15="P",($M15*Pick_Scoring!$B$6)+($Q15*Pick_Scoring!$B$7)+($O15*Pick_Scoring!$B$8)+($P15*Pick_Scoring!$B$9)-($N15*Pick_Scoring!$B$10),($F15*Pick_Scoring!$B$15)+($G15*Pick_Scoring!$B$16)+($H15*Pick_Scoring!$B$17)+($I15*Pick_Scoring!$B$18)+($J15*Pick_Scoring!$B$19)+($K15*Pick_Scoring!$B$20)-($L15*Pick_Scoring!$B$21)))</x:f>
      </x:c>
    </x:row>
    <x:row r="16">
      <x:c r="A16" s="9">
        <x:f>IF($B16="","",$B16&amp;"|"&amp;$C16)</x:f>
      </x:c>
      <x:c r="B16" s="10" t="n"/>
      <x:c r="C16" s="11" t="n"/>
      <x:c r="D16" s="10" t="n"/>
      <x:c r="E16" s="10" t="n"/>
      <x:c r="F16" s="10" t="n"/>
      <x:c r="G16" s="10" t="n"/>
      <x:c r="H16" s="10" t="n"/>
      <x:c r="I16" s="10" t="n"/>
      <x:c r="J16" s="10" t="n"/>
      <x:c r="K16" s="10" t="n"/>
      <x:c r="L16" s="10" t="n"/>
      <x:c r="M16" s="10" t="n"/>
      <x:c r="N16" s="10" t="n"/>
      <x:c r="O16" s="10" t="n"/>
      <x:c r="P16" s="10" t="n"/>
      <x:c r="Q16" s="10" t="n"/>
      <x:c r="R16" s="14">
        <x:f>IF($B16="","",IF($E16="P",($M16*Pick_Scoring!$B$6)+($Q16*Pick_Scoring!$B$7)+($O16*Pick_Scoring!$B$8)+($P16*Pick_Scoring!$B$9)-($N16*Pick_Scoring!$B$10),($F16*Pick_Scoring!$B$15)+($G16*Pick_Scoring!$B$16)+($H16*Pick_Scoring!$B$17)+($I16*Pick_Scoring!$B$18)+($J16*Pick_Scoring!$B$19)+($K16*Pick_Scoring!$B$20)-($L16*Pick_Scoring!$B$21)))</x:f>
      </x:c>
    </x:row>
    <x:row r="17">
      <x:c r="A17" s="9">
        <x:f>IF($B17="","",$B17&amp;"|"&amp;$C17)</x:f>
      </x:c>
      <x:c r="B17" s="10" t="n"/>
      <x:c r="C17" s="11" t="n"/>
      <x:c r="D17" s="10" t="n"/>
      <x:c r="E17" s="10" t="n"/>
      <x:c r="F17" s="10" t="n"/>
      <x:c r="G17" s="10" t="n"/>
      <x:c r="H17" s="10" t="n"/>
      <x:c r="I17" s="10" t="n"/>
      <x:c r="J17" s="10" t="n"/>
      <x:c r="K17" s="10" t="n"/>
      <x:c r="L17" s="10" t="n"/>
      <x:c r="M17" s="10" t="n"/>
      <x:c r="N17" s="10" t="n"/>
      <x:c r="O17" s="10" t="n"/>
      <x:c r="P17" s="10" t="n"/>
      <x:c r="Q17" s="10" t="n"/>
      <x:c r="R17" s="14">
        <x:f>IF($B17="","",IF($E17="P",($M17*Pick_Scoring!$B$6)+($Q17*Pick_Scoring!$B$7)+($O17*Pick_Scoring!$B$8)+($P17*Pick_Scoring!$B$9)-($N17*Pick_Scoring!$B$10),($F17*Pick_Scoring!$B$15)+($G17*Pick_Scoring!$B$16)+($H17*Pick_Scoring!$B$17)+($I17*Pick_Scoring!$B$18)+($J17*Pick_Scoring!$B$19)+($K17*Pick_Scoring!$B$20)-($L17*Pick_Scoring!$B$21)))</x:f>
      </x:c>
    </x:row>
    <x:row r="18">
      <x:c r="A18" s="9">
        <x:f>IF($B18="","",$B18&amp;"|"&amp;$C18)</x:f>
      </x:c>
      <x:c r="B18" s="10" t="n"/>
      <x:c r="C18" s="11" t="n"/>
      <x:c r="D18" s="10" t="n"/>
      <x:c r="E18" s="10" t="n"/>
      <x:c r="F18" s="10" t="n"/>
      <x:c r="G18" s="10" t="n"/>
      <x:c r="H18" s="10" t="n"/>
      <x:c r="I18" s="10" t="n"/>
      <x:c r="J18" s="10" t="n"/>
      <x:c r="K18" s="10" t="n"/>
      <x:c r="L18" s="10" t="n"/>
      <x:c r="M18" s="10" t="n"/>
      <x:c r="N18" s="10" t="n"/>
      <x:c r="O18" s="10" t="n"/>
      <x:c r="P18" s="10" t="n"/>
      <x:c r="Q18" s="10" t="n"/>
      <x:c r="R18" s="14">
        <x:f>IF($B18="","",IF($E18="P",($M18*Pick_Scoring!$B$6)+($Q18*Pick_Scoring!$B$7)+($O18*Pick_Scoring!$B$8)+($P18*Pick_Scoring!$B$9)-($N18*Pick_Scoring!$B$10),($F18*Pick_Scoring!$B$15)+($G18*Pick_Scoring!$B$16)+($H18*Pick_Scoring!$B$17)+($I18*Pick_Scoring!$B$18)+($J18*Pick_Scoring!$B$19)+($K18*Pick_Scoring!$B$20)-($L18*Pick_Scoring!$B$21)))</x:f>
      </x:c>
    </x:row>
    <x:row r="19">
      <x:c r="A19" s="9">
        <x:f>IF($B19="","",$B19&amp;"|"&amp;$C19)</x:f>
      </x:c>
      <x:c r="B19" s="10" t="n"/>
      <x:c r="C19" s="11" t="n"/>
      <x:c r="D19" s="10" t="n"/>
      <x:c r="E19" s="10" t="n"/>
      <x:c r="F19" s="10" t="n"/>
      <x:c r="G19" s="10" t="n"/>
      <x:c r="H19" s="10" t="n"/>
      <x:c r="I19" s="10" t="n"/>
      <x:c r="J19" s="10" t="n"/>
      <x:c r="K19" s="10" t="n"/>
      <x:c r="L19" s="10" t="n"/>
      <x:c r="M19" s="10" t="n"/>
      <x:c r="N19" s="10" t="n"/>
      <x:c r="O19" s="10" t="n"/>
      <x:c r="P19" s="10" t="n"/>
      <x:c r="Q19" s="10" t="n"/>
      <x:c r="R19" s="14">
        <x:f>IF($B19="","",IF($E19="P",($M19*Pick_Scoring!$B$6)+($Q19*Pick_Scoring!$B$7)+($O19*Pick_Scoring!$B$8)+($P19*Pick_Scoring!$B$9)-($N19*Pick_Scoring!$B$10),($F19*Pick_Scoring!$B$15)+($G19*Pick_Scoring!$B$16)+($H19*Pick_Scoring!$B$17)+($I19*Pick_Scoring!$B$18)+($J19*Pick_Scoring!$B$19)+($K19*Pick_Scoring!$B$20)-($L19*Pick_Scoring!$B$21)))</x:f>
      </x:c>
    </x:row>
    <x:row r="20">
      <x:c r="A20" s="9">
        <x:f>IF($B20="","",$B20&amp;"|"&amp;$C20)</x:f>
      </x:c>
      <x:c r="B20" s="10" t="n"/>
      <x:c r="C20" s="11" t="n"/>
      <x:c r="D20" s="10" t="n"/>
      <x:c r="E20" s="10" t="n"/>
      <x:c r="F20" s="10" t="n"/>
      <x:c r="G20" s="10" t="n"/>
      <x:c r="H20" s="10" t="n"/>
      <x:c r="I20" s="10" t="n"/>
      <x:c r="J20" s="10" t="n"/>
      <x:c r="K20" s="10" t="n"/>
      <x:c r="L20" s="10" t="n"/>
      <x:c r="M20" s="10" t="n"/>
      <x:c r="N20" s="10" t="n"/>
      <x:c r="O20" s="10" t="n"/>
      <x:c r="P20" s="10" t="n"/>
      <x:c r="Q20" s="10" t="n"/>
      <x:c r="R20" s="14">
        <x:f>IF($B20="","",IF($E20="P",($M20*Pick_Scoring!$B$6)+($Q20*Pick_Scoring!$B$7)+($O20*Pick_Scoring!$B$8)+($P20*Pick_Scoring!$B$9)-($N20*Pick_Scoring!$B$10),($F20*Pick_Scoring!$B$15)+($G20*Pick_Scoring!$B$16)+($H20*Pick_Scoring!$B$17)+($I20*Pick_Scoring!$B$18)+($J20*Pick_Scoring!$B$19)+($K20*Pick_Scoring!$B$20)-($L20*Pick_Scoring!$B$21)))</x:f>
      </x:c>
    </x:row>
    <x:row r="21">
      <x:c r="A21" s="9">
        <x:f>IF($B21="","",$B21&amp;"|"&amp;$C21)</x:f>
      </x:c>
      <x:c r="B21" s="10" t="n"/>
      <x:c r="C21" s="11" t="n"/>
      <x:c r="D21" s="10" t="n"/>
      <x:c r="E21" s="10" t="n"/>
      <x:c r="F21" s="10" t="n"/>
      <x:c r="G21" s="10" t="n"/>
      <x:c r="H21" s="10" t="n"/>
      <x:c r="I21" s="10" t="n"/>
      <x:c r="J21" s="10" t="n"/>
      <x:c r="K21" s="10" t="n"/>
      <x:c r="L21" s="10" t="n"/>
      <x:c r="M21" s="10" t="n"/>
      <x:c r="N21" s="10" t="n"/>
      <x:c r="O21" s="10" t="n"/>
      <x:c r="P21" s="10" t="n"/>
      <x:c r="Q21" s="10" t="n"/>
      <x:c r="R21" s="14">
        <x:f>IF($B21="","",IF($E21="P",($M21*Pick_Scoring!$B$6)+($Q21*Pick_Scoring!$B$7)+($O21*Pick_Scoring!$B$8)+($P21*Pick_Scoring!$B$9)-($N21*Pick_Scoring!$B$10),($F21*Pick_Scoring!$B$15)+($G21*Pick_Scoring!$B$16)+($H21*Pick_Scoring!$B$17)+($I21*Pick_Scoring!$B$18)+($J21*Pick_Scoring!$B$19)+($K21*Pick_Scoring!$B$20)-($L21*Pick_Scoring!$B$21)))</x:f>
      </x:c>
    </x:row>
    <x:row r="22">
      <x:c r="A22" s="9">
        <x:f>IF($B22="","",$B22&amp;"|"&amp;$C22)</x:f>
      </x:c>
      <x:c r="B22" s="10" t="n"/>
      <x:c r="C22" s="11" t="n"/>
      <x:c r="D22" s="10" t="n"/>
      <x:c r="E22" s="10" t="n"/>
      <x:c r="F22" s="10" t="n"/>
      <x:c r="G22" s="10" t="n"/>
      <x:c r="H22" s="10" t="n"/>
      <x:c r="I22" s="10" t="n"/>
      <x:c r="J22" s="10" t="n"/>
      <x:c r="K22" s="10" t="n"/>
      <x:c r="L22" s="10" t="n"/>
      <x:c r="M22" s="10" t="n"/>
      <x:c r="N22" s="10" t="n"/>
      <x:c r="O22" s="10" t="n"/>
      <x:c r="P22" s="10" t="n"/>
      <x:c r="Q22" s="10" t="n"/>
      <x:c r="R22" s="14">
        <x:f>IF($B22="","",IF($E22="P",($M22*Pick_Scoring!$B$6)+($Q22*Pick_Scoring!$B$7)+($O22*Pick_Scoring!$B$8)+($P22*Pick_Scoring!$B$9)-($N22*Pick_Scoring!$B$10),($F22*Pick_Scoring!$B$15)+($G22*Pick_Scoring!$B$16)+($H22*Pick_Scoring!$B$17)+($I22*Pick_Scoring!$B$18)+($J22*Pick_Scoring!$B$19)+($K22*Pick_Scoring!$B$20)-($L22*Pick_Scoring!$B$21)))</x:f>
      </x:c>
    </x:row>
    <x:row r="23">
      <x:c r="A23" s="9">
        <x:f>IF($B23="","",$B23&amp;"|"&amp;$C23)</x:f>
      </x:c>
      <x:c r="B23" s="10" t="n"/>
      <x:c r="C23" s="11" t="n"/>
      <x:c r="D23" s="10" t="n"/>
      <x:c r="E23" s="10" t="n"/>
      <x:c r="F23" s="10" t="n"/>
      <x:c r="G23" s="10" t="n"/>
      <x:c r="H23" s="10" t="n"/>
      <x:c r="I23" s="10" t="n"/>
      <x:c r="J23" s="10" t="n"/>
      <x:c r="K23" s="10" t="n"/>
      <x:c r="L23" s="10" t="n"/>
      <x:c r="M23" s="10" t="n"/>
      <x:c r="N23" s="10" t="n"/>
      <x:c r="O23" s="10" t="n"/>
      <x:c r="P23" s="10" t="n"/>
      <x:c r="Q23" s="10" t="n"/>
      <x:c r="R23" s="14">
        <x:f>IF($B23="","",IF($E23="P",($M23*Pick_Scoring!$B$6)+($Q23*Pick_Scoring!$B$7)+($O23*Pick_Scoring!$B$8)+($P23*Pick_Scoring!$B$9)-($N23*Pick_Scoring!$B$10),($F23*Pick_Scoring!$B$15)+($G23*Pick_Scoring!$B$16)+($H23*Pick_Scoring!$B$17)+($I23*Pick_Scoring!$B$18)+($J23*Pick_Scoring!$B$19)+($K23*Pick_Scoring!$B$20)-($L23*Pick_Scoring!$B$21)))</x:f>
      </x:c>
    </x:row>
    <x:row r="24">
      <x:c r="A24" s="9">
        <x:f>IF($B24="","",$B24&amp;"|"&amp;$C24)</x:f>
      </x:c>
      <x:c r="B24" s="10" t="n"/>
      <x:c r="C24" s="11" t="n"/>
      <x:c r="D24" s="10" t="n"/>
      <x:c r="E24" s="10" t="n"/>
      <x:c r="F24" s="10" t="n"/>
      <x:c r="G24" s="10" t="n"/>
      <x:c r="H24" s="10" t="n"/>
      <x:c r="I24" s="10" t="n"/>
      <x:c r="J24" s="10" t="n"/>
      <x:c r="K24" s="10" t="n"/>
      <x:c r="L24" s="10" t="n"/>
      <x:c r="M24" s="10" t="n"/>
      <x:c r="N24" s="10" t="n"/>
      <x:c r="O24" s="10" t="n"/>
      <x:c r="P24" s="10" t="n"/>
      <x:c r="Q24" s="10" t="n"/>
      <x:c r="R24" s="14">
        <x:f>IF($B24="","",IF($E24="P",($M24*Pick_Scoring!$B$6)+($Q24*Pick_Scoring!$B$7)+($O24*Pick_Scoring!$B$8)+($P24*Pick_Scoring!$B$9)-($N24*Pick_Scoring!$B$10),($F24*Pick_Scoring!$B$15)+($G24*Pick_Scoring!$B$16)+($H24*Pick_Scoring!$B$17)+($I24*Pick_Scoring!$B$18)+($J24*Pick_Scoring!$B$19)+($K24*Pick_Scoring!$B$20)-($L24*Pick_Scoring!$B$21)))</x:f>
      </x:c>
    </x:row>
    <x:row r="25">
      <x:c r="A25" s="9">
        <x:f>IF($B25="","",$B25&amp;"|"&amp;$C25)</x:f>
      </x:c>
      <x:c r="B25" s="10" t="n"/>
      <x:c r="C25" s="11" t="n"/>
      <x:c r="D25" s="10" t="n"/>
      <x:c r="E25" s="10" t="n"/>
      <x:c r="F25" s="10" t="n"/>
      <x:c r="G25" s="10" t="n"/>
      <x:c r="H25" s="10" t="n"/>
      <x:c r="I25" s="10" t="n"/>
      <x:c r="J25" s="10" t="n"/>
      <x:c r="K25" s="10" t="n"/>
      <x:c r="L25" s="10" t="n"/>
      <x:c r="M25" s="10" t="n"/>
      <x:c r="N25" s="10" t="n"/>
      <x:c r="O25" s="10" t="n"/>
      <x:c r="P25" s="10" t="n"/>
      <x:c r="Q25" s="10" t="n"/>
      <x:c r="R25" s="14">
        <x:f>IF($B25="","",IF($E25="P",($M25*Pick_Scoring!$B$6)+($Q25*Pick_Scoring!$B$7)+($O25*Pick_Scoring!$B$8)+($P25*Pick_Scoring!$B$9)-($N25*Pick_Scoring!$B$10),($F25*Pick_Scoring!$B$15)+($G25*Pick_Scoring!$B$16)+($H25*Pick_Scoring!$B$17)+($I25*Pick_Scoring!$B$18)+($J25*Pick_Scoring!$B$19)+($K25*Pick_Scoring!$B$20)-($L25*Pick_Scoring!$B$21)))</x:f>
      </x:c>
    </x:row>
    <x:row r="26">
      <x:c r="A26" s="9">
        <x:f>IF($B26="","",$B26&amp;"|"&amp;$C26)</x:f>
      </x:c>
      <x:c r="B26" s="10" t="n"/>
      <x:c r="C26" s="11" t="n"/>
      <x:c r="D26" s="10" t="n"/>
      <x:c r="E26" s="10" t="n"/>
      <x:c r="F26" s="10" t="n"/>
      <x:c r="G26" s="10" t="n"/>
      <x:c r="H26" s="10" t="n"/>
      <x:c r="I26" s="10" t="n"/>
      <x:c r="J26" s="10" t="n"/>
      <x:c r="K26" s="10" t="n"/>
      <x:c r="L26" s="10" t="n"/>
      <x:c r="M26" s="10" t="n"/>
      <x:c r="N26" s="10" t="n"/>
      <x:c r="O26" s="10" t="n"/>
      <x:c r="P26" s="10" t="n"/>
      <x:c r="Q26" s="10" t="n"/>
      <x:c r="R26" s="14">
        <x:f>IF($B26="","",IF($E26="P",($M26*Pick_Scoring!$B$6)+($Q26*Pick_Scoring!$B$7)+($O26*Pick_Scoring!$B$8)+($P26*Pick_Scoring!$B$9)-($N26*Pick_Scoring!$B$10),($F26*Pick_Scoring!$B$15)+($G26*Pick_Scoring!$B$16)+($H26*Pick_Scoring!$B$17)+($I26*Pick_Scoring!$B$18)+($J26*Pick_Scoring!$B$19)+($K26*Pick_Scoring!$B$20)-($L26*Pick_Scoring!$B$21)))</x:f>
      </x:c>
    </x:row>
    <x:row r="27">
      <x:c r="A27" s="9">
        <x:f>IF($B27="","",$B27&amp;"|"&amp;$C27)</x:f>
      </x:c>
      <x:c r="B27" s="10" t="n"/>
      <x:c r="C27" s="11" t="n"/>
      <x:c r="D27" s="10" t="n"/>
      <x:c r="E27" s="10" t="n"/>
      <x:c r="F27" s="10" t="n"/>
      <x:c r="G27" s="10" t="n"/>
      <x:c r="H27" s="10" t="n"/>
      <x:c r="I27" s="10" t="n"/>
      <x:c r="J27" s="10" t="n"/>
      <x:c r="K27" s="10" t="n"/>
      <x:c r="L27" s="10" t="n"/>
      <x:c r="M27" s="10" t="n"/>
      <x:c r="N27" s="10" t="n"/>
      <x:c r="O27" s="10" t="n"/>
      <x:c r="P27" s="10" t="n"/>
      <x:c r="Q27" s="10" t="n"/>
      <x:c r="R27" s="14">
        <x:f>IF($B27="","",IF($E27="P",($M27*Pick_Scoring!$B$6)+($Q27*Pick_Scoring!$B$7)+($O27*Pick_Scoring!$B$8)+($P27*Pick_Scoring!$B$9)-($N27*Pick_Scoring!$B$10),($F27*Pick_Scoring!$B$15)+($G27*Pick_Scoring!$B$16)+($H27*Pick_Scoring!$B$17)+($I27*Pick_Scoring!$B$18)+($J27*Pick_Scoring!$B$19)+($K27*Pick_Scoring!$B$20)-($L27*Pick_Scoring!$B$21)))</x:f>
      </x:c>
    </x:row>
    <x:row r="28">
      <x:c r="A28" s="9">
        <x:f>IF($B28="","",$B28&amp;"|"&amp;$C28)</x:f>
      </x:c>
      <x:c r="B28" s="10" t="n"/>
      <x:c r="C28" s="11" t="n"/>
      <x:c r="D28" s="10" t="n"/>
      <x:c r="E28" s="10" t="n"/>
      <x:c r="F28" s="10" t="n"/>
      <x:c r="G28" s="10" t="n"/>
      <x:c r="H28" s="10" t="n"/>
      <x:c r="I28" s="10" t="n"/>
      <x:c r="J28" s="10" t="n"/>
      <x:c r="K28" s="10" t="n"/>
      <x:c r="L28" s="10" t="n"/>
      <x:c r="M28" s="10" t="n"/>
      <x:c r="N28" s="10" t="n"/>
      <x:c r="O28" s="10" t="n"/>
      <x:c r="P28" s="10" t="n"/>
      <x:c r="Q28" s="10" t="n"/>
      <x:c r="R28" s="14">
        <x:f>IF($B28="","",IF($E28="P",($M28*Pick_Scoring!$B$6)+($Q28*Pick_Scoring!$B$7)+($O28*Pick_Scoring!$B$8)+($P28*Pick_Scoring!$B$9)-($N28*Pick_Scoring!$B$10),($F28*Pick_Scoring!$B$15)+($G28*Pick_Scoring!$B$16)+($H28*Pick_Scoring!$B$17)+($I28*Pick_Scoring!$B$18)+($J28*Pick_Scoring!$B$19)+($K28*Pick_Scoring!$B$20)-($L28*Pick_Scoring!$B$21)))</x:f>
      </x:c>
    </x:row>
    <x:row r="29">
      <x:c r="A29" s="9">
        <x:f>IF($B29="","",$B29&amp;"|"&amp;$C29)</x:f>
      </x:c>
      <x:c r="B29" s="10" t="n"/>
      <x:c r="C29" s="11" t="n"/>
      <x:c r="D29" s="10" t="n"/>
      <x:c r="E29" s="10" t="n"/>
      <x:c r="F29" s="10" t="n"/>
      <x:c r="G29" s="10" t="n"/>
      <x:c r="H29" s="10" t="n"/>
      <x:c r="I29" s="10" t="n"/>
      <x:c r="J29" s="10" t="n"/>
      <x:c r="K29" s="10" t="n"/>
      <x:c r="L29" s="10" t="n"/>
      <x:c r="M29" s="10" t="n"/>
      <x:c r="N29" s="10" t="n"/>
      <x:c r="O29" s="10" t="n"/>
      <x:c r="P29" s="10" t="n"/>
      <x:c r="Q29" s="10" t="n"/>
      <x:c r="R29" s="14">
        <x:f>IF($B29="","",IF($E29="P",($M29*Pick_Scoring!$B$6)+($Q29*Pick_Scoring!$B$7)+($O29*Pick_Scoring!$B$8)+($P29*Pick_Scoring!$B$9)-($N29*Pick_Scoring!$B$10),($F29*Pick_Scoring!$B$15)+($G29*Pick_Scoring!$B$16)+($H29*Pick_Scoring!$B$17)+($I29*Pick_Scoring!$B$18)+($J29*Pick_Scoring!$B$19)+($K29*Pick_Scoring!$B$20)-($L29*Pick_Scoring!$B$21)))</x:f>
      </x:c>
    </x:row>
    <x:row r="30">
      <x:c r="A30" s="9">
        <x:f>IF($B30="","",$B30&amp;"|"&amp;$C30)</x:f>
      </x:c>
      <x:c r="B30" s="10" t="n"/>
      <x:c r="C30" s="11" t="n"/>
      <x:c r="D30" s="10" t="n"/>
      <x:c r="E30" s="10" t="n"/>
      <x:c r="F30" s="10" t="n"/>
      <x:c r="G30" s="10" t="n"/>
      <x:c r="H30" s="10" t="n"/>
      <x:c r="I30" s="10" t="n"/>
      <x:c r="J30" s="10" t="n"/>
      <x:c r="K30" s="10" t="n"/>
      <x:c r="L30" s="10" t="n"/>
      <x:c r="M30" s="10" t="n"/>
      <x:c r="N30" s="10" t="n"/>
      <x:c r="O30" s="10" t="n"/>
      <x:c r="P30" s="10" t="n"/>
      <x:c r="Q30" s="10" t="n"/>
      <x:c r="R30" s="14">
        <x:f>IF($B30="","",IF($E30="P",($M30*Pick_Scoring!$B$6)+($Q30*Pick_Scoring!$B$7)+($O30*Pick_Scoring!$B$8)+($P30*Pick_Scoring!$B$9)-($N30*Pick_Scoring!$B$10),($F30*Pick_Scoring!$B$15)+($G30*Pick_Scoring!$B$16)+($H30*Pick_Scoring!$B$17)+($I30*Pick_Scoring!$B$18)+($J30*Pick_Scoring!$B$19)+($K30*Pick_Scoring!$B$20)-($L30*Pick_Scoring!$B$21)))</x:f>
      </x:c>
    </x:row>
    <x:row r="31">
      <x:c r="A31" s="9">
        <x:f>IF($B31="","",$B31&amp;"|"&amp;$C31)</x:f>
      </x:c>
      <x:c r="B31" s="10" t="n"/>
      <x:c r="C31" s="11" t="n"/>
      <x:c r="D31" s="10" t="n"/>
      <x:c r="E31" s="10" t="n"/>
      <x:c r="F31" s="10" t="n"/>
      <x:c r="G31" s="10" t="n"/>
      <x:c r="H31" s="10" t="n"/>
      <x:c r="I31" s="10" t="n"/>
      <x:c r="J31" s="10" t="n"/>
      <x:c r="K31" s="10" t="n"/>
      <x:c r="L31" s="10" t="n"/>
      <x:c r="M31" s="10" t="n"/>
      <x:c r="N31" s="10" t="n"/>
      <x:c r="O31" s="10" t="n"/>
      <x:c r="P31" s="10" t="n"/>
      <x:c r="Q31" s="10" t="n"/>
      <x:c r="R31" s="14">
        <x:f>IF($B31="","",IF($E31="P",($M31*Pick_Scoring!$B$6)+($Q31*Pick_Scoring!$B$7)+($O31*Pick_Scoring!$B$8)+($P31*Pick_Scoring!$B$9)-($N31*Pick_Scoring!$B$10),($F31*Pick_Scoring!$B$15)+($G31*Pick_Scoring!$B$16)+($H31*Pick_Scoring!$B$17)+($I31*Pick_Scoring!$B$18)+($J31*Pick_Scoring!$B$19)+($K31*Pick_Scoring!$B$20)-($L31*Pick_Scoring!$B$21)))</x:f>
      </x:c>
    </x:row>
    <x:row r="32">
      <x:c r="A32" s="9">
        <x:f>IF($B32="","",$B32&amp;"|"&amp;$C32)</x:f>
      </x:c>
      <x:c r="B32" s="10" t="n"/>
      <x:c r="C32" s="11" t="n"/>
      <x:c r="D32" s="10" t="n"/>
      <x:c r="E32" s="10" t="n"/>
      <x:c r="F32" s="10" t="n"/>
      <x:c r="G32" s="10" t="n"/>
      <x:c r="H32" s="10" t="n"/>
      <x:c r="I32" s="10" t="n"/>
      <x:c r="J32" s="10" t="n"/>
      <x:c r="K32" s="10" t="n"/>
      <x:c r="L32" s="10" t="n"/>
      <x:c r="M32" s="10" t="n"/>
      <x:c r="N32" s="10" t="n"/>
      <x:c r="O32" s="10" t="n"/>
      <x:c r="P32" s="10" t="n"/>
      <x:c r="Q32" s="10" t="n"/>
      <x:c r="R32" s="14">
        <x:f>IF($B32="","",IF($E32="P",($M32*Pick_Scoring!$B$6)+($Q32*Pick_Scoring!$B$7)+($O32*Pick_Scoring!$B$8)+($P32*Pick_Scoring!$B$9)-($N32*Pick_Scoring!$B$10),($F32*Pick_Scoring!$B$15)+($G32*Pick_Scoring!$B$16)+($H32*Pick_Scoring!$B$17)+($I32*Pick_Scoring!$B$18)+($J32*Pick_Scoring!$B$19)+($K32*Pick_Scoring!$B$20)-($L32*Pick_Scoring!$B$21)))</x:f>
      </x:c>
    </x:row>
    <x:row r="33">
      <x:c r="A33" s="9">
        <x:f>IF($B33="","",$B33&amp;"|"&amp;$C33)</x:f>
      </x:c>
      <x:c r="B33" s="10" t="n"/>
      <x:c r="C33" s="11" t="n"/>
      <x:c r="D33" s="10" t="n"/>
      <x:c r="E33" s="10" t="n"/>
      <x:c r="F33" s="10" t="n"/>
      <x:c r="G33" s="10" t="n"/>
      <x:c r="H33" s="10" t="n"/>
      <x:c r="I33" s="10" t="n"/>
      <x:c r="J33" s="10" t="n"/>
      <x:c r="K33" s="10" t="n"/>
      <x:c r="L33" s="10" t="n"/>
      <x:c r="M33" s="10" t="n"/>
      <x:c r="N33" s="10" t="n"/>
      <x:c r="O33" s="10" t="n"/>
      <x:c r="P33" s="10" t="n"/>
      <x:c r="Q33" s="10" t="n"/>
      <x:c r="R33" s="14">
        <x:f>IF($B33="","",IF($E33="P",($M33*Pick_Scoring!$B$6)+($Q33*Pick_Scoring!$B$7)+($O33*Pick_Scoring!$B$8)+($P33*Pick_Scoring!$B$9)-($N33*Pick_Scoring!$B$10),($F33*Pick_Scoring!$B$15)+($G33*Pick_Scoring!$B$16)+($H33*Pick_Scoring!$B$17)+($I33*Pick_Scoring!$B$18)+($J33*Pick_Scoring!$B$19)+($K33*Pick_Scoring!$B$20)-($L33*Pick_Scoring!$B$21)))</x:f>
      </x:c>
    </x:row>
    <x:row r="34">
      <x:c r="A34" s="9">
        <x:f>IF($B34="","",$B34&amp;"|"&amp;$C34)</x:f>
      </x:c>
      <x:c r="B34" s="10" t="n"/>
      <x:c r="C34" s="11" t="n"/>
      <x:c r="D34" s="10" t="n"/>
      <x:c r="E34" s="10" t="n"/>
      <x:c r="F34" s="10" t="n"/>
      <x:c r="G34" s="10" t="n"/>
      <x:c r="H34" s="10" t="n"/>
      <x:c r="I34" s="10" t="n"/>
      <x:c r="J34" s="10" t="n"/>
      <x:c r="K34" s="10" t="n"/>
      <x:c r="L34" s="10" t="n"/>
      <x:c r="M34" s="10" t="n"/>
      <x:c r="N34" s="10" t="n"/>
      <x:c r="O34" s="10" t="n"/>
      <x:c r="P34" s="10" t="n"/>
      <x:c r="Q34" s="10" t="n"/>
      <x:c r="R34" s="14">
        <x:f>IF($B34="","",IF($E34="P",($M34*Pick_Scoring!$B$6)+($Q34*Pick_Scoring!$B$7)+($O34*Pick_Scoring!$B$8)+($P34*Pick_Scoring!$B$9)-($N34*Pick_Scoring!$B$10),($F34*Pick_Scoring!$B$15)+($G34*Pick_Scoring!$B$16)+($H34*Pick_Scoring!$B$17)+($I34*Pick_Scoring!$B$18)+($J34*Pick_Scoring!$B$19)+($K34*Pick_Scoring!$B$20)-($L34*Pick_Scoring!$B$21)))</x:f>
      </x:c>
    </x:row>
    <x:row r="35">
      <x:c r="A35" s="9">
        <x:f>IF($B35="","",$B35&amp;"|"&amp;$C35)</x:f>
      </x:c>
      <x:c r="B35" s="10" t="n"/>
      <x:c r="C35" s="11" t="n"/>
      <x:c r="D35" s="10" t="n"/>
      <x:c r="E35" s="10" t="n"/>
      <x:c r="F35" s="10" t="n"/>
      <x:c r="G35" s="10" t="n"/>
      <x:c r="H35" s="10" t="n"/>
      <x:c r="I35" s="10" t="n"/>
      <x:c r="J35" s="10" t="n"/>
      <x:c r="K35" s="10" t="n"/>
      <x:c r="L35" s="10" t="n"/>
      <x:c r="M35" s="10" t="n"/>
      <x:c r="N35" s="10" t="n"/>
      <x:c r="O35" s="10" t="n"/>
      <x:c r="P35" s="10" t="n"/>
      <x:c r="Q35" s="10" t="n"/>
      <x:c r="R35" s="14">
        <x:f>IF($B35="","",IF($E35="P",($M35*Pick_Scoring!$B$6)+($Q35*Pick_Scoring!$B$7)+($O35*Pick_Scoring!$B$8)+($P35*Pick_Scoring!$B$9)-($N35*Pick_Scoring!$B$10),($F35*Pick_Scoring!$B$15)+($G35*Pick_Scoring!$B$16)+($H35*Pick_Scoring!$B$17)+($I35*Pick_Scoring!$B$18)+($J35*Pick_Scoring!$B$19)+($K35*Pick_Scoring!$B$20)-($L35*Pick_Scoring!$B$21)))</x:f>
      </x:c>
    </x:row>
    <x:row r="36">
      <x:c r="A36" s="9">
        <x:f>IF($B36="","",$B36&amp;"|"&amp;$C36)</x:f>
      </x:c>
      <x:c r="B36" s="10" t="n"/>
      <x:c r="C36" s="11" t="n"/>
      <x:c r="D36" s="10" t="n"/>
      <x:c r="E36" s="10" t="n"/>
      <x:c r="F36" s="10" t="n"/>
      <x:c r="G36" s="10" t="n"/>
      <x:c r="H36" s="10" t="n"/>
      <x:c r="I36" s="10" t="n"/>
      <x:c r="J36" s="10" t="n"/>
      <x:c r="K36" s="10" t="n"/>
      <x:c r="L36" s="10" t="n"/>
      <x:c r="M36" s="10" t="n"/>
      <x:c r="N36" s="10" t="n"/>
      <x:c r="O36" s="10" t="n"/>
      <x:c r="P36" s="10" t="n"/>
      <x:c r="Q36" s="10" t="n"/>
      <x:c r="R36" s="14">
        <x:f>IF($B36="","",IF($E36="P",($M36*Pick_Scoring!$B$6)+($Q36*Pick_Scoring!$B$7)+($O36*Pick_Scoring!$B$8)+($P36*Pick_Scoring!$B$9)-($N36*Pick_Scoring!$B$10),($F36*Pick_Scoring!$B$15)+($G36*Pick_Scoring!$B$16)+($H36*Pick_Scoring!$B$17)+($I36*Pick_Scoring!$B$18)+($J36*Pick_Scoring!$B$19)+($K36*Pick_Scoring!$B$20)-($L36*Pick_Scoring!$B$21)))</x:f>
      </x:c>
    </x:row>
    <x:row r="37">
      <x:c r="A37" s="9">
        <x:f>IF($B37="","",$B37&amp;"|"&amp;$C37)</x:f>
      </x:c>
      <x:c r="B37" s="10" t="n"/>
      <x:c r="C37" s="11" t="n"/>
      <x:c r="D37" s="10" t="n"/>
      <x:c r="E37" s="10" t="n"/>
      <x:c r="F37" s="10" t="n"/>
      <x:c r="G37" s="10" t="n"/>
      <x:c r="H37" s="10" t="n"/>
      <x:c r="I37" s="10" t="n"/>
      <x:c r="J37" s="10" t="n"/>
      <x:c r="K37" s="10" t="n"/>
      <x:c r="L37" s="10" t="n"/>
      <x:c r="M37" s="10" t="n"/>
      <x:c r="N37" s="10" t="n"/>
      <x:c r="O37" s="10" t="n"/>
      <x:c r="P37" s="10" t="n"/>
      <x:c r="Q37" s="10" t="n"/>
      <x:c r="R37" s="14">
        <x:f>IF($B37="","",IF($E37="P",($M37*Pick_Scoring!$B$6)+($Q37*Pick_Scoring!$B$7)+($O37*Pick_Scoring!$B$8)+($P37*Pick_Scoring!$B$9)-($N37*Pick_Scoring!$B$10),($F37*Pick_Scoring!$B$15)+($G37*Pick_Scoring!$B$16)+($H37*Pick_Scoring!$B$17)+($I37*Pick_Scoring!$B$18)+($J37*Pick_Scoring!$B$19)+($K37*Pick_Scoring!$B$20)-($L37*Pick_Scoring!$B$21)))</x:f>
      </x:c>
    </x:row>
    <x:row r="38">
      <x:c r="A38" s="9">
        <x:f>IF($B38="","",$B38&amp;"|"&amp;$C38)</x:f>
      </x:c>
      <x:c r="B38" s="10" t="n"/>
      <x:c r="C38" s="11" t="n"/>
      <x:c r="D38" s="10" t="n"/>
      <x:c r="E38" s="10" t="n"/>
      <x:c r="F38" s="10" t="n"/>
      <x:c r="G38" s="10" t="n"/>
      <x:c r="H38" s="10" t="n"/>
      <x:c r="I38" s="10" t="n"/>
      <x:c r="J38" s="10" t="n"/>
      <x:c r="K38" s="10" t="n"/>
      <x:c r="L38" s="10" t="n"/>
      <x:c r="M38" s="10" t="n"/>
      <x:c r="N38" s="10" t="n"/>
      <x:c r="O38" s="10" t="n"/>
      <x:c r="P38" s="10" t="n"/>
      <x:c r="Q38" s="10" t="n"/>
      <x:c r="R38" s="14">
        <x:f>IF($B38="","",IF($E38="P",($M38*Pick_Scoring!$B$6)+($Q38*Pick_Scoring!$B$7)+($O38*Pick_Scoring!$B$8)+($P38*Pick_Scoring!$B$9)-($N38*Pick_Scoring!$B$10),($F38*Pick_Scoring!$B$15)+($G38*Pick_Scoring!$B$16)+($H38*Pick_Scoring!$B$17)+($I38*Pick_Scoring!$B$18)+($J38*Pick_Scoring!$B$19)+($K38*Pick_Scoring!$B$20)-($L38*Pick_Scoring!$B$21)))</x:f>
      </x:c>
    </x:row>
    <x:row r="39">
      <x:c r="A39" s="9">
        <x:f>IF($B39="","",$B39&amp;"|"&amp;$C39)</x:f>
      </x:c>
      <x:c r="B39" s="10" t="n"/>
      <x:c r="C39" s="11" t="n"/>
      <x:c r="D39" s="10" t="n"/>
      <x:c r="E39" s="10" t="n"/>
      <x:c r="F39" s="10" t="n"/>
      <x:c r="G39" s="10" t="n"/>
      <x:c r="H39" s="10" t="n"/>
      <x:c r="I39" s="10" t="n"/>
      <x:c r="J39" s="10" t="n"/>
      <x:c r="K39" s="10" t="n"/>
      <x:c r="L39" s="10" t="n"/>
      <x:c r="M39" s="10" t="n"/>
      <x:c r="N39" s="10" t="n"/>
      <x:c r="O39" s="10" t="n"/>
      <x:c r="P39" s="10" t="n"/>
      <x:c r="Q39" s="10" t="n"/>
      <x:c r="R39" s="14">
        <x:f>IF($B39="","",IF($E39="P",($M39*Pick_Scoring!$B$6)+($Q39*Pick_Scoring!$B$7)+($O39*Pick_Scoring!$B$8)+($P39*Pick_Scoring!$B$9)-($N39*Pick_Scoring!$B$10),($F39*Pick_Scoring!$B$15)+($G39*Pick_Scoring!$B$16)+($H39*Pick_Scoring!$B$17)+($I39*Pick_Scoring!$B$18)+($J39*Pick_Scoring!$B$19)+($K39*Pick_Scoring!$B$20)-($L39*Pick_Scoring!$B$21)))</x:f>
      </x:c>
    </x:row>
    <x:row r="40">
      <x:c r="A40" s="9">
        <x:f>IF($B40="","",$B40&amp;"|"&amp;$C40)</x:f>
      </x:c>
      <x:c r="B40" s="10" t="n"/>
      <x:c r="C40" s="11" t="n"/>
      <x:c r="D40" s="10" t="n"/>
      <x:c r="E40" s="10" t="n"/>
      <x:c r="F40" s="10" t="n"/>
      <x:c r="G40" s="10" t="n"/>
      <x:c r="H40" s="10" t="n"/>
      <x:c r="I40" s="10" t="n"/>
      <x:c r="J40" s="10" t="n"/>
      <x:c r="K40" s="10" t="n"/>
      <x:c r="L40" s="10" t="n"/>
      <x:c r="M40" s="10" t="n"/>
      <x:c r="N40" s="10" t="n"/>
      <x:c r="O40" s="10" t="n"/>
      <x:c r="P40" s="10" t="n"/>
      <x:c r="Q40" s="10" t="n"/>
      <x:c r="R40" s="14">
        <x:f>IF($B40="","",IF($E40="P",($M40*Pick_Scoring!$B$6)+($Q40*Pick_Scoring!$B$7)+($O40*Pick_Scoring!$B$8)+($P40*Pick_Scoring!$B$9)-($N40*Pick_Scoring!$B$10),($F40*Pick_Scoring!$B$15)+($G40*Pick_Scoring!$B$16)+($H40*Pick_Scoring!$B$17)+($I40*Pick_Scoring!$B$18)+($J40*Pick_Scoring!$B$19)+($K40*Pick_Scoring!$B$20)-($L40*Pick_Scoring!$B$21)))</x:f>
      </x:c>
    </x:row>
    <x:row r="41">
      <x:c r="A41" s="9">
        <x:f>IF($B41="","",$B41&amp;"|"&amp;$C41)</x:f>
      </x:c>
      <x:c r="B41" s="10" t="n"/>
      <x:c r="C41" s="11" t="n"/>
      <x:c r="D41" s="10" t="n"/>
      <x:c r="E41" s="10" t="n"/>
      <x:c r="F41" s="10" t="n"/>
      <x:c r="G41" s="10" t="n"/>
      <x:c r="H41" s="10" t="n"/>
      <x:c r="I41" s="10" t="n"/>
      <x:c r="J41" s="10" t="n"/>
      <x:c r="K41" s="10" t="n"/>
      <x:c r="L41" s="10" t="n"/>
      <x:c r="M41" s="10" t="n"/>
      <x:c r="N41" s="10" t="n"/>
      <x:c r="O41" s="10" t="n"/>
      <x:c r="P41" s="10" t="n"/>
      <x:c r="Q41" s="10" t="n"/>
      <x:c r="R41" s="14">
        <x:f>IF($B41="","",IF($E41="P",($M41*Pick_Scoring!$B$6)+($Q41*Pick_Scoring!$B$7)+($O41*Pick_Scoring!$B$8)+($P41*Pick_Scoring!$B$9)-($N41*Pick_Scoring!$B$10),($F41*Pick_Scoring!$B$15)+($G41*Pick_Scoring!$B$16)+($H41*Pick_Scoring!$B$17)+($I41*Pick_Scoring!$B$18)+($J41*Pick_Scoring!$B$19)+($K41*Pick_Scoring!$B$20)-($L41*Pick_Scoring!$B$21)))</x:f>
      </x:c>
    </x:row>
    <x:row r="42">
      <x:c r="A42" s="9">
        <x:f>IF($B42="","",$B42&amp;"|"&amp;$C42)</x:f>
      </x:c>
      <x:c r="B42" s="10" t="n"/>
      <x:c r="C42" s="11" t="n"/>
      <x:c r="D42" s="10" t="n"/>
      <x:c r="E42" s="10" t="n"/>
      <x:c r="F42" s="10" t="n"/>
      <x:c r="G42" s="10" t="n"/>
      <x:c r="H42" s="10" t="n"/>
      <x:c r="I42" s="10" t="n"/>
      <x:c r="J42" s="10" t="n"/>
      <x:c r="K42" s="10" t="n"/>
      <x:c r="L42" s="10" t="n"/>
      <x:c r="M42" s="10" t="n"/>
      <x:c r="N42" s="10" t="n"/>
      <x:c r="O42" s="10" t="n"/>
      <x:c r="P42" s="10" t="n"/>
      <x:c r="Q42" s="10" t="n"/>
      <x:c r="R42" s="14">
        <x:f>IF($B42="","",IF($E42="P",($M42*Pick_Scoring!$B$6)+($Q42*Pick_Scoring!$B$7)+($O42*Pick_Scoring!$B$8)+($P42*Pick_Scoring!$B$9)-($N42*Pick_Scoring!$B$10),($F42*Pick_Scoring!$B$15)+($G42*Pick_Scoring!$B$16)+($H42*Pick_Scoring!$B$17)+($I42*Pick_Scoring!$B$18)+($J42*Pick_Scoring!$B$19)+($K42*Pick_Scoring!$B$20)-($L42*Pick_Scoring!$B$21)))</x:f>
      </x:c>
    </x:row>
    <x:row r="43">
      <x:c r="A43" s="9">
        <x:f>IF($B43="","",$B43&amp;"|"&amp;$C43)</x:f>
      </x:c>
      <x:c r="B43" s="10" t="n"/>
      <x:c r="C43" s="11" t="n"/>
      <x:c r="D43" s="10" t="n"/>
      <x:c r="E43" s="10" t="n"/>
      <x:c r="F43" s="10" t="n"/>
      <x:c r="G43" s="10" t="n"/>
      <x:c r="H43" s="10" t="n"/>
      <x:c r="I43" s="10" t="n"/>
      <x:c r="J43" s="10" t="n"/>
      <x:c r="K43" s="10" t="n"/>
      <x:c r="L43" s="10" t="n"/>
      <x:c r="M43" s="10" t="n"/>
      <x:c r="N43" s="10" t="n"/>
      <x:c r="O43" s="10" t="n"/>
      <x:c r="P43" s="10" t="n"/>
      <x:c r="Q43" s="10" t="n"/>
      <x:c r="R43" s="14">
        <x:f>IF($B43="","",IF($E43="P",($M43*Pick_Scoring!$B$6)+($Q43*Pick_Scoring!$B$7)+($O43*Pick_Scoring!$B$8)+($P43*Pick_Scoring!$B$9)-($N43*Pick_Scoring!$B$10),($F43*Pick_Scoring!$B$15)+($G43*Pick_Scoring!$B$16)+($H43*Pick_Scoring!$B$17)+($I43*Pick_Scoring!$B$18)+($J43*Pick_Scoring!$B$19)+($K43*Pick_Scoring!$B$20)-($L43*Pick_Scoring!$B$21)))</x:f>
      </x:c>
    </x:row>
    <x:row r="44">
      <x:c r="A44" s="9">
        <x:f>IF($B44="","",$B44&amp;"|"&amp;$C44)</x:f>
      </x:c>
      <x:c r="B44" s="10" t="n"/>
      <x:c r="C44" s="11" t="n"/>
      <x:c r="D44" s="10" t="n"/>
      <x:c r="E44" s="10" t="n"/>
      <x:c r="F44" s="10" t="n"/>
      <x:c r="G44" s="10" t="n"/>
      <x:c r="H44" s="10" t="n"/>
      <x:c r="I44" s="10" t="n"/>
      <x:c r="J44" s="10" t="n"/>
      <x:c r="K44" s="10" t="n"/>
      <x:c r="L44" s="10" t="n"/>
      <x:c r="M44" s="10" t="n"/>
      <x:c r="N44" s="10" t="n"/>
      <x:c r="O44" s="10" t="n"/>
      <x:c r="P44" s="10" t="n"/>
      <x:c r="Q44" s="10" t="n"/>
      <x:c r="R44" s="14">
        <x:f>IF($B44="","",IF($E44="P",($M44*Pick_Scoring!$B$6)+($Q44*Pick_Scoring!$B$7)+($O44*Pick_Scoring!$B$8)+($P44*Pick_Scoring!$B$9)-($N44*Pick_Scoring!$B$10),($F44*Pick_Scoring!$B$15)+($G44*Pick_Scoring!$B$16)+($H44*Pick_Scoring!$B$17)+($I44*Pick_Scoring!$B$18)+($J44*Pick_Scoring!$B$19)+($K44*Pick_Scoring!$B$20)-($L44*Pick_Scoring!$B$21)))</x:f>
      </x:c>
    </x:row>
    <x:row r="45">
      <x:c r="A45" s="9">
        <x:f>IF($B45="","",$B45&amp;"|"&amp;$C45)</x:f>
      </x:c>
      <x:c r="B45" s="10" t="n"/>
      <x:c r="C45" s="11" t="n"/>
      <x:c r="D45" s="10" t="n"/>
      <x:c r="E45" s="10" t="n"/>
      <x:c r="F45" s="10" t="n"/>
      <x:c r="G45" s="10" t="n"/>
      <x:c r="H45" s="10" t="n"/>
      <x:c r="I45" s="10" t="n"/>
      <x:c r="J45" s="10" t="n"/>
      <x:c r="K45" s="10" t="n"/>
      <x:c r="L45" s="10" t="n"/>
      <x:c r="M45" s="10" t="n"/>
      <x:c r="N45" s="10" t="n"/>
      <x:c r="O45" s="10" t="n"/>
      <x:c r="P45" s="10" t="n"/>
      <x:c r="Q45" s="10" t="n"/>
      <x:c r="R45" s="14">
        <x:f>IF($B45="","",IF($E45="P",($M45*Pick_Scoring!$B$6)+($Q45*Pick_Scoring!$B$7)+($O45*Pick_Scoring!$B$8)+($P45*Pick_Scoring!$B$9)-($N45*Pick_Scoring!$B$10),($F45*Pick_Scoring!$B$15)+($G45*Pick_Scoring!$B$16)+($H45*Pick_Scoring!$B$17)+($I45*Pick_Scoring!$B$18)+($J45*Pick_Scoring!$B$19)+($K45*Pick_Scoring!$B$20)-($L45*Pick_Scoring!$B$21)))</x:f>
      </x:c>
    </x:row>
    <x:row r="46">
      <x:c r="A46" s="9">
        <x:f>IF($B46="","",$B46&amp;"|"&amp;$C46)</x:f>
      </x:c>
      <x:c r="B46" s="10" t="n"/>
      <x:c r="C46" s="11" t="n"/>
      <x:c r="D46" s="10" t="n"/>
      <x:c r="E46" s="10" t="n"/>
      <x:c r="F46" s="10" t="n"/>
      <x:c r="G46" s="10" t="n"/>
      <x:c r="H46" s="10" t="n"/>
      <x:c r="I46" s="10" t="n"/>
      <x:c r="J46" s="10" t="n"/>
      <x:c r="K46" s="10" t="n"/>
      <x:c r="L46" s="10" t="n"/>
      <x:c r="M46" s="10" t="n"/>
      <x:c r="N46" s="10" t="n"/>
      <x:c r="O46" s="10" t="n"/>
      <x:c r="P46" s="10" t="n"/>
      <x:c r="Q46" s="10" t="n"/>
      <x:c r="R46" s="14">
        <x:f>IF($B46="","",IF($E46="P",($M46*Pick_Scoring!$B$6)+($Q46*Pick_Scoring!$B$7)+($O46*Pick_Scoring!$B$8)+($P46*Pick_Scoring!$B$9)-($N46*Pick_Scoring!$B$10),($F46*Pick_Scoring!$B$15)+($G46*Pick_Scoring!$B$16)+($H46*Pick_Scoring!$B$17)+($I46*Pick_Scoring!$B$18)+($J46*Pick_Scoring!$B$19)+($K46*Pick_Scoring!$B$20)-($L46*Pick_Scoring!$B$21)))</x:f>
      </x:c>
    </x:row>
    <x:row r="47">
      <x:c r="A47" s="9">
        <x:f>IF($B47="","",$B47&amp;"|"&amp;$C47)</x:f>
      </x:c>
      <x:c r="B47" s="10" t="n"/>
      <x:c r="C47" s="11" t="n"/>
      <x:c r="D47" s="10" t="n"/>
      <x:c r="E47" s="10" t="n"/>
      <x:c r="F47" s="10" t="n"/>
      <x:c r="G47" s="10" t="n"/>
      <x:c r="H47" s="10" t="n"/>
      <x:c r="I47" s="10" t="n"/>
      <x:c r="J47" s="10" t="n"/>
      <x:c r="K47" s="10" t="n"/>
      <x:c r="L47" s="10" t="n"/>
      <x:c r="M47" s="10" t="n"/>
      <x:c r="N47" s="10" t="n"/>
      <x:c r="O47" s="10" t="n"/>
      <x:c r="P47" s="10" t="n"/>
      <x:c r="Q47" s="10" t="n"/>
      <x:c r="R47" s="14">
        <x:f>IF($B47="","",IF($E47="P",($M47*Pick_Scoring!$B$6)+($Q47*Pick_Scoring!$B$7)+($O47*Pick_Scoring!$B$8)+($P47*Pick_Scoring!$B$9)-($N47*Pick_Scoring!$B$10),($F47*Pick_Scoring!$B$15)+($G47*Pick_Scoring!$B$16)+($H47*Pick_Scoring!$B$17)+($I47*Pick_Scoring!$B$18)+($J47*Pick_Scoring!$B$19)+($K47*Pick_Scoring!$B$20)-($L47*Pick_Scoring!$B$21)))</x:f>
      </x:c>
    </x:row>
    <x:row r="48">
      <x:c r="A48" s="9">
        <x:f>IF($B48="","",$B48&amp;"|"&amp;$C48)</x:f>
      </x:c>
      <x:c r="B48" s="10" t="n"/>
      <x:c r="C48" s="11" t="n"/>
      <x:c r="D48" s="10" t="n"/>
      <x:c r="E48" s="10" t="n"/>
      <x:c r="F48" s="10" t="n"/>
      <x:c r="G48" s="10" t="n"/>
      <x:c r="H48" s="10" t="n"/>
      <x:c r="I48" s="10" t="n"/>
      <x:c r="J48" s="10" t="n"/>
      <x:c r="K48" s="10" t="n"/>
      <x:c r="L48" s="10" t="n"/>
      <x:c r="M48" s="10" t="n"/>
      <x:c r="N48" s="10" t="n"/>
      <x:c r="O48" s="10" t="n"/>
      <x:c r="P48" s="10" t="n"/>
      <x:c r="Q48" s="10" t="n"/>
      <x:c r="R48" s="14">
        <x:f>IF($B48="","",IF($E48="P",($M48*Pick_Scoring!$B$6)+($Q48*Pick_Scoring!$B$7)+($O48*Pick_Scoring!$B$8)+($P48*Pick_Scoring!$B$9)-($N48*Pick_Scoring!$B$10),($F48*Pick_Scoring!$B$15)+($G48*Pick_Scoring!$B$16)+($H48*Pick_Scoring!$B$17)+($I48*Pick_Scoring!$B$18)+($J48*Pick_Scoring!$B$19)+($K48*Pick_Scoring!$B$20)-($L48*Pick_Scoring!$B$21)))</x:f>
      </x:c>
    </x:row>
    <x:row r="49">
      <x:c r="A49" s="9">
        <x:f>IF($B49="","",$B49&amp;"|"&amp;$C49)</x:f>
      </x:c>
      <x:c r="B49" s="10" t="n"/>
      <x:c r="C49" s="11" t="n"/>
      <x:c r="D49" s="10" t="n"/>
      <x:c r="E49" s="10" t="n"/>
      <x:c r="F49" s="10" t="n"/>
      <x:c r="G49" s="10" t="n"/>
      <x:c r="H49" s="10" t="n"/>
      <x:c r="I49" s="10" t="n"/>
      <x:c r="J49" s="10" t="n"/>
      <x:c r="K49" s="10" t="n"/>
      <x:c r="L49" s="10" t="n"/>
      <x:c r="M49" s="10" t="n"/>
      <x:c r="N49" s="10" t="n"/>
      <x:c r="O49" s="10" t="n"/>
      <x:c r="P49" s="10" t="n"/>
      <x:c r="Q49" s="10" t="n"/>
      <x:c r="R49" s="14">
        <x:f>IF($B49="","",IF($E49="P",($M49*Pick_Scoring!$B$6)+($Q49*Pick_Scoring!$B$7)+($O49*Pick_Scoring!$B$8)+($P49*Pick_Scoring!$B$9)-($N49*Pick_Scoring!$B$10),($F49*Pick_Scoring!$B$15)+($G49*Pick_Scoring!$B$16)+($H49*Pick_Scoring!$B$17)+($I49*Pick_Scoring!$B$18)+($J49*Pick_Scoring!$B$19)+($K49*Pick_Scoring!$B$20)-($L49*Pick_Scoring!$B$21)))</x:f>
      </x:c>
    </x:row>
    <x:row r="50">
      <x:c r="A50" s="9">
        <x:f>IF($B50="","",$B50&amp;"|"&amp;$C50)</x:f>
      </x:c>
      <x:c r="B50" s="10" t="n"/>
      <x:c r="C50" s="11" t="n"/>
      <x:c r="D50" s="10" t="n"/>
      <x:c r="E50" s="10" t="n"/>
      <x:c r="F50" s="10" t="n"/>
      <x:c r="G50" s="10" t="n"/>
      <x:c r="H50" s="10" t="n"/>
      <x:c r="I50" s="10" t="n"/>
      <x:c r="J50" s="10" t="n"/>
      <x:c r="K50" s="10" t="n"/>
      <x:c r="L50" s="10" t="n"/>
      <x:c r="M50" s="10" t="n"/>
      <x:c r="N50" s="10" t="n"/>
      <x:c r="O50" s="10" t="n"/>
      <x:c r="P50" s="10" t="n"/>
      <x:c r="Q50" s="10" t="n"/>
      <x:c r="R50" s="14">
        <x:f>IF($B50="","",IF($E50="P",($M50*Pick_Scoring!$B$6)+($Q50*Pick_Scoring!$B$7)+($O50*Pick_Scoring!$B$8)+($P50*Pick_Scoring!$B$9)-($N50*Pick_Scoring!$B$10),($F50*Pick_Scoring!$B$15)+($G50*Pick_Scoring!$B$16)+($H50*Pick_Scoring!$B$17)+($I50*Pick_Scoring!$B$18)+($J50*Pick_Scoring!$B$19)+($K50*Pick_Scoring!$B$20)-($L50*Pick_Scoring!$B$21)))</x:f>
      </x:c>
    </x:row>
    <x:row r="51">
      <x:c r="A51" s="9">
        <x:f>IF($B51="","",$B51&amp;"|"&amp;$C51)</x:f>
      </x:c>
      <x:c r="B51" s="10" t="n"/>
      <x:c r="C51" s="11" t="n"/>
      <x:c r="D51" s="10" t="n"/>
      <x:c r="E51" s="10" t="n"/>
      <x:c r="F51" s="10" t="n"/>
      <x:c r="G51" s="10" t="n"/>
      <x:c r="H51" s="10" t="n"/>
      <x:c r="I51" s="10" t="n"/>
      <x:c r="J51" s="10" t="n"/>
      <x:c r="K51" s="10" t="n"/>
      <x:c r="L51" s="10" t="n"/>
      <x:c r="M51" s="10" t="n"/>
      <x:c r="N51" s="10" t="n"/>
      <x:c r="O51" s="10" t="n"/>
      <x:c r="P51" s="10" t="n"/>
      <x:c r="Q51" s="10" t="n"/>
      <x:c r="R51" s="14">
        <x:f>IF($B51="","",IF($E51="P",($M51*Pick_Scoring!$B$6)+($Q51*Pick_Scoring!$B$7)+($O51*Pick_Scoring!$B$8)+($P51*Pick_Scoring!$B$9)-($N51*Pick_Scoring!$B$10),($F51*Pick_Scoring!$B$15)+($G51*Pick_Scoring!$B$16)+($H51*Pick_Scoring!$B$17)+($I51*Pick_Scoring!$B$18)+($J51*Pick_Scoring!$B$19)+($K51*Pick_Scoring!$B$20)-($L51*Pick_Scoring!$B$21)))</x:f>
      </x:c>
    </x:row>
    <x:row r="52">
      <x:c r="A52" s="9">
        <x:f>IF($B52="","",$B52&amp;"|"&amp;$C52)</x:f>
      </x:c>
      <x:c r="B52" s="10" t="n"/>
      <x:c r="C52" s="11" t="n"/>
      <x:c r="D52" s="10" t="n"/>
      <x:c r="E52" s="10" t="n"/>
      <x:c r="F52" s="10" t="n"/>
      <x:c r="G52" s="10" t="n"/>
      <x:c r="H52" s="10" t="n"/>
      <x:c r="I52" s="10" t="n"/>
      <x:c r="J52" s="10" t="n"/>
      <x:c r="K52" s="10" t="n"/>
      <x:c r="L52" s="10" t="n"/>
      <x:c r="M52" s="10" t="n"/>
      <x:c r="N52" s="10" t="n"/>
      <x:c r="O52" s="10" t="n"/>
      <x:c r="P52" s="10" t="n"/>
      <x:c r="Q52" s="10" t="n"/>
      <x:c r="R52" s="14">
        <x:f>IF($B52="","",IF($E52="P",($M52*Pick_Scoring!$B$6)+($Q52*Pick_Scoring!$B$7)+($O52*Pick_Scoring!$B$8)+($P52*Pick_Scoring!$B$9)-($N52*Pick_Scoring!$B$10),($F52*Pick_Scoring!$B$15)+($G52*Pick_Scoring!$B$16)+($H52*Pick_Scoring!$B$17)+($I52*Pick_Scoring!$B$18)+($J52*Pick_Scoring!$B$19)+($K52*Pick_Scoring!$B$20)-($L52*Pick_Scoring!$B$21)))</x:f>
      </x:c>
    </x:row>
    <x:row r="53">
      <x:c r="A53" s="9">
        <x:f>IF($B53="","",$B53&amp;"|"&amp;$C53)</x:f>
      </x:c>
      <x:c r="B53" s="10" t="n"/>
      <x:c r="C53" s="11" t="n"/>
      <x:c r="D53" s="10" t="n"/>
      <x:c r="E53" s="10" t="n"/>
      <x:c r="F53" s="10" t="n"/>
      <x:c r="G53" s="10" t="n"/>
      <x:c r="H53" s="10" t="n"/>
      <x:c r="I53" s="10" t="n"/>
      <x:c r="J53" s="10" t="n"/>
      <x:c r="K53" s="10" t="n"/>
      <x:c r="L53" s="10" t="n"/>
      <x:c r="M53" s="10" t="n"/>
      <x:c r="N53" s="10" t="n"/>
      <x:c r="O53" s="10" t="n"/>
      <x:c r="P53" s="10" t="n"/>
      <x:c r="Q53" s="10" t="n"/>
      <x:c r="R53" s="14">
        <x:f>IF($B53="","",IF($E53="P",($M53*Pick_Scoring!$B$6)+($Q53*Pick_Scoring!$B$7)+($O53*Pick_Scoring!$B$8)+($P53*Pick_Scoring!$B$9)-($N53*Pick_Scoring!$B$10),($F53*Pick_Scoring!$B$15)+($G53*Pick_Scoring!$B$16)+($H53*Pick_Scoring!$B$17)+($I53*Pick_Scoring!$B$18)+($J53*Pick_Scoring!$B$19)+($K53*Pick_Scoring!$B$20)-($L53*Pick_Scoring!$B$21)))</x:f>
      </x:c>
    </x:row>
    <x:row r="54">
      <x:c r="A54" s="9">
        <x:f>IF($B54="","",$B54&amp;"|"&amp;$C54)</x:f>
      </x:c>
      <x:c r="B54" s="10" t="n"/>
      <x:c r="C54" s="11" t="n"/>
      <x:c r="D54" s="10" t="n"/>
      <x:c r="E54" s="10" t="n"/>
      <x:c r="F54" s="10" t="n"/>
      <x:c r="G54" s="10" t="n"/>
      <x:c r="H54" s="10" t="n"/>
      <x:c r="I54" s="10" t="n"/>
      <x:c r="J54" s="10" t="n"/>
      <x:c r="K54" s="10" t="n"/>
      <x:c r="L54" s="10" t="n"/>
      <x:c r="M54" s="10" t="n"/>
      <x:c r="N54" s="10" t="n"/>
      <x:c r="O54" s="10" t="n"/>
      <x:c r="P54" s="10" t="n"/>
      <x:c r="Q54" s="10" t="n"/>
      <x:c r="R54" s="14">
        <x:f>IF($B54="","",IF($E54="P",($M54*Pick_Scoring!$B$6)+($Q54*Pick_Scoring!$B$7)+($O54*Pick_Scoring!$B$8)+($P54*Pick_Scoring!$B$9)-($N54*Pick_Scoring!$B$10),($F54*Pick_Scoring!$B$15)+($G54*Pick_Scoring!$B$16)+($H54*Pick_Scoring!$B$17)+($I54*Pick_Scoring!$B$18)+($J54*Pick_Scoring!$B$19)+($K54*Pick_Scoring!$B$20)-($L54*Pick_Scoring!$B$21)))</x:f>
      </x:c>
    </x:row>
    <x:row r="55">
      <x:c r="A55" s="9">
        <x:f>IF($B55="","",$B55&amp;"|"&amp;$C55)</x:f>
      </x:c>
      <x:c r="B55" s="10" t="n"/>
      <x:c r="C55" s="11" t="n"/>
      <x:c r="D55" s="10" t="n"/>
      <x:c r="E55" s="10" t="n"/>
      <x:c r="F55" s="10" t="n"/>
      <x:c r="G55" s="10" t="n"/>
      <x:c r="H55" s="10" t="n"/>
      <x:c r="I55" s="10" t="n"/>
      <x:c r="J55" s="10" t="n"/>
      <x:c r="K55" s="10" t="n"/>
      <x:c r="L55" s="10" t="n"/>
      <x:c r="M55" s="10" t="n"/>
      <x:c r="N55" s="10" t="n"/>
      <x:c r="O55" s="10" t="n"/>
      <x:c r="P55" s="10" t="n"/>
      <x:c r="Q55" s="10" t="n"/>
      <x:c r="R55" s="14">
        <x:f>IF($B55="","",IF($E55="P",($M55*Pick_Scoring!$B$6)+($Q55*Pick_Scoring!$B$7)+($O55*Pick_Scoring!$B$8)+($P55*Pick_Scoring!$B$9)-($N55*Pick_Scoring!$B$10),($F55*Pick_Scoring!$B$15)+($G55*Pick_Scoring!$B$16)+($H55*Pick_Scoring!$B$17)+($I55*Pick_Scoring!$B$18)+($J55*Pick_Scoring!$B$19)+($K55*Pick_Scoring!$B$20)-($L55*Pick_Scoring!$B$21)))</x:f>
      </x:c>
    </x:row>
    <x:row r="56">
      <x:c r="A56" s="9">
        <x:f>IF($B56="","",$B56&amp;"|"&amp;$C56)</x:f>
      </x:c>
      <x:c r="B56" s="10" t="n"/>
      <x:c r="C56" s="11" t="n"/>
      <x:c r="D56" s="10" t="n"/>
      <x:c r="E56" s="10" t="n"/>
      <x:c r="F56" s="10" t="n"/>
      <x:c r="G56" s="10" t="n"/>
      <x:c r="H56" s="10" t="n"/>
      <x:c r="I56" s="10" t="n"/>
      <x:c r="J56" s="10" t="n"/>
      <x:c r="K56" s="10" t="n"/>
      <x:c r="L56" s="10" t="n"/>
      <x:c r="M56" s="10" t="n"/>
      <x:c r="N56" s="10" t="n"/>
      <x:c r="O56" s="10" t="n"/>
      <x:c r="P56" s="10" t="n"/>
      <x:c r="Q56" s="10" t="n"/>
      <x:c r="R56" s="14">
        <x:f>IF($B56="","",IF($E56="P",($M56*Pick_Scoring!$B$6)+($Q56*Pick_Scoring!$B$7)+($O56*Pick_Scoring!$B$8)+($P56*Pick_Scoring!$B$9)-($N56*Pick_Scoring!$B$10),($F56*Pick_Scoring!$B$15)+($G56*Pick_Scoring!$B$16)+($H56*Pick_Scoring!$B$17)+($I56*Pick_Scoring!$B$18)+($J56*Pick_Scoring!$B$19)+($K56*Pick_Scoring!$B$20)-($L56*Pick_Scoring!$B$21)))</x:f>
      </x:c>
    </x:row>
    <x:row r="57">
      <x:c r="A57" s="9">
        <x:f>IF($B57="","",$B57&amp;"|"&amp;$C57)</x:f>
      </x:c>
      <x:c r="B57" s="10" t="n"/>
      <x:c r="C57" s="11" t="n"/>
      <x:c r="D57" s="10" t="n"/>
      <x:c r="E57" s="10" t="n"/>
      <x:c r="F57" s="10" t="n"/>
      <x:c r="G57" s="10" t="n"/>
      <x:c r="H57" s="10" t="n"/>
      <x:c r="I57" s="10" t="n"/>
      <x:c r="J57" s="10" t="n"/>
      <x:c r="K57" s="10" t="n"/>
      <x:c r="L57" s="10" t="n"/>
      <x:c r="M57" s="10" t="n"/>
      <x:c r="N57" s="10" t="n"/>
      <x:c r="O57" s="10" t="n"/>
      <x:c r="P57" s="10" t="n"/>
      <x:c r="Q57" s="10" t="n"/>
      <x:c r="R57" s="14">
        <x:f>IF($B57="","",IF($E57="P",($M57*Pick_Scoring!$B$6)+($Q57*Pick_Scoring!$B$7)+($O57*Pick_Scoring!$B$8)+($P57*Pick_Scoring!$B$9)-($N57*Pick_Scoring!$B$10),($F57*Pick_Scoring!$B$15)+($G57*Pick_Scoring!$B$16)+($H57*Pick_Scoring!$B$17)+($I57*Pick_Scoring!$B$18)+($J57*Pick_Scoring!$B$19)+($K57*Pick_Scoring!$B$20)-($L57*Pick_Scoring!$B$21)))</x:f>
      </x:c>
    </x:row>
    <x:row r="58">
      <x:c r="A58" s="9">
        <x:f>IF($B58="","",$B58&amp;"|"&amp;$C58)</x:f>
      </x:c>
      <x:c r="B58" s="10" t="n"/>
      <x:c r="C58" s="11" t="n"/>
      <x:c r="D58" s="10" t="n"/>
      <x:c r="E58" s="10" t="n"/>
      <x:c r="F58" s="10" t="n"/>
      <x:c r="G58" s="10" t="n"/>
      <x:c r="H58" s="10" t="n"/>
      <x:c r="I58" s="10" t="n"/>
      <x:c r="J58" s="10" t="n"/>
      <x:c r="K58" s="10" t="n"/>
      <x:c r="L58" s="10" t="n"/>
      <x:c r="M58" s="10" t="n"/>
      <x:c r="N58" s="10" t="n"/>
      <x:c r="O58" s="10" t="n"/>
      <x:c r="P58" s="10" t="n"/>
      <x:c r="Q58" s="10" t="n"/>
      <x:c r="R58" s="14">
        <x:f>IF($B58="","",IF($E58="P",($M58*Pick_Scoring!$B$6)+($Q58*Pick_Scoring!$B$7)+($O58*Pick_Scoring!$B$8)+($P58*Pick_Scoring!$B$9)-($N58*Pick_Scoring!$B$10),($F58*Pick_Scoring!$B$15)+($G58*Pick_Scoring!$B$16)+($H58*Pick_Scoring!$B$17)+($I58*Pick_Scoring!$B$18)+($J58*Pick_Scoring!$B$19)+($K58*Pick_Scoring!$B$20)-($L58*Pick_Scoring!$B$21)))</x:f>
      </x:c>
    </x:row>
    <x:row r="59">
      <x:c r="A59" s="9">
        <x:f>IF($B59="","",$B59&amp;"|"&amp;$C59)</x:f>
      </x:c>
      <x:c r="B59" s="10" t="n"/>
      <x:c r="C59" s="11" t="n"/>
      <x:c r="D59" s="10" t="n"/>
      <x:c r="E59" s="10" t="n"/>
      <x:c r="F59" s="10" t="n"/>
      <x:c r="G59" s="10" t="n"/>
      <x:c r="H59" s="10" t="n"/>
      <x:c r="I59" s="10" t="n"/>
      <x:c r="J59" s="10" t="n"/>
      <x:c r="K59" s="10" t="n"/>
      <x:c r="L59" s="10" t="n"/>
      <x:c r="M59" s="10" t="n"/>
      <x:c r="N59" s="10" t="n"/>
      <x:c r="O59" s="10" t="n"/>
      <x:c r="P59" s="10" t="n"/>
      <x:c r="Q59" s="10" t="n"/>
      <x:c r="R59" s="14">
        <x:f>IF($B59="","",IF($E59="P",($M59*Pick_Scoring!$B$6)+($Q59*Pick_Scoring!$B$7)+($O59*Pick_Scoring!$B$8)+($P59*Pick_Scoring!$B$9)-($N59*Pick_Scoring!$B$10),($F59*Pick_Scoring!$B$15)+($G59*Pick_Scoring!$B$16)+($H59*Pick_Scoring!$B$17)+($I59*Pick_Scoring!$B$18)+($J59*Pick_Scoring!$B$19)+($K59*Pick_Scoring!$B$20)-($L59*Pick_Scoring!$B$21)))</x:f>
      </x:c>
    </x:row>
    <x:row r="60">
      <x:c r="A60" s="9">
        <x:f>IF($B60="","",$B60&amp;"|"&amp;$C60)</x:f>
      </x:c>
      <x:c r="B60" s="10" t="n"/>
      <x:c r="C60" s="11" t="n"/>
      <x:c r="D60" s="10" t="n"/>
      <x:c r="E60" s="10" t="n"/>
      <x:c r="F60" s="10" t="n"/>
      <x:c r="G60" s="10" t="n"/>
      <x:c r="H60" s="10" t="n"/>
      <x:c r="I60" s="10" t="n"/>
      <x:c r="J60" s="10" t="n"/>
      <x:c r="K60" s="10" t="n"/>
      <x:c r="L60" s="10" t="n"/>
      <x:c r="M60" s="10" t="n"/>
      <x:c r="N60" s="10" t="n"/>
      <x:c r="O60" s="10" t="n"/>
      <x:c r="P60" s="10" t="n"/>
      <x:c r="Q60" s="10" t="n"/>
      <x:c r="R60" s="14">
        <x:f>IF($B60="","",IF($E60="P",($M60*Pick_Scoring!$B$6)+($Q60*Pick_Scoring!$B$7)+($O60*Pick_Scoring!$B$8)+($P60*Pick_Scoring!$B$9)-($N60*Pick_Scoring!$B$10),($F60*Pick_Scoring!$B$15)+($G60*Pick_Scoring!$B$16)+($H60*Pick_Scoring!$B$17)+($I60*Pick_Scoring!$B$18)+($J60*Pick_Scoring!$B$19)+($K60*Pick_Scoring!$B$20)-($L60*Pick_Scoring!$B$21)))</x:f>
      </x:c>
    </x:row>
    <x:row r="61">
      <x:c r="A61" s="9">
        <x:f>IF($B61="","",$B61&amp;"|"&amp;$C61)</x:f>
      </x:c>
      <x:c r="B61" s="10" t="n"/>
      <x:c r="C61" s="11" t="n"/>
      <x:c r="D61" s="10" t="n"/>
      <x:c r="E61" s="10" t="n"/>
      <x:c r="F61" s="10" t="n"/>
      <x:c r="G61" s="10" t="n"/>
      <x:c r="H61" s="10" t="n"/>
      <x:c r="I61" s="10" t="n"/>
      <x:c r="J61" s="10" t="n"/>
      <x:c r="K61" s="10" t="n"/>
      <x:c r="L61" s="10" t="n"/>
      <x:c r="M61" s="10" t="n"/>
      <x:c r="N61" s="10" t="n"/>
      <x:c r="O61" s="10" t="n"/>
      <x:c r="P61" s="10" t="n"/>
      <x:c r="Q61" s="10" t="n"/>
      <x:c r="R61" s="14">
        <x:f>IF($B61="","",IF($E61="P",($M61*Pick_Scoring!$B$6)+($Q61*Pick_Scoring!$B$7)+($O61*Pick_Scoring!$B$8)+($P61*Pick_Scoring!$B$9)-($N61*Pick_Scoring!$B$10),($F61*Pick_Scoring!$B$15)+($G61*Pick_Scoring!$B$16)+($H61*Pick_Scoring!$B$17)+($I61*Pick_Scoring!$B$18)+($J61*Pick_Scoring!$B$19)+($K61*Pick_Scoring!$B$20)-($L61*Pick_Scoring!$B$21)))</x:f>
      </x:c>
    </x:row>
    <x:row r="62">
      <x:c r="A62" s="9">
        <x:f>IF($B62="","",$B62&amp;"|"&amp;$C62)</x:f>
      </x:c>
      <x:c r="B62" s="10" t="n"/>
      <x:c r="C62" s="11" t="n"/>
      <x:c r="D62" s="10" t="n"/>
      <x:c r="E62" s="10" t="n"/>
      <x:c r="F62" s="10" t="n"/>
      <x:c r="G62" s="10" t="n"/>
      <x:c r="H62" s="10" t="n"/>
      <x:c r="I62" s="10" t="n"/>
      <x:c r="J62" s="10" t="n"/>
      <x:c r="K62" s="10" t="n"/>
      <x:c r="L62" s="10" t="n"/>
      <x:c r="M62" s="10" t="n"/>
      <x:c r="N62" s="10" t="n"/>
      <x:c r="O62" s="10" t="n"/>
      <x:c r="P62" s="10" t="n"/>
      <x:c r="Q62" s="10" t="n"/>
      <x:c r="R62" s="14">
        <x:f>IF($B62="","",IF($E62="P",($M62*Pick_Scoring!$B$6)+($Q62*Pick_Scoring!$B$7)+($O62*Pick_Scoring!$B$8)+($P62*Pick_Scoring!$B$9)-($N62*Pick_Scoring!$B$10),($F62*Pick_Scoring!$B$15)+($G62*Pick_Scoring!$B$16)+($H62*Pick_Scoring!$B$17)+($I62*Pick_Scoring!$B$18)+($J62*Pick_Scoring!$B$19)+($K62*Pick_Scoring!$B$20)-($L62*Pick_Scoring!$B$21)))</x:f>
      </x:c>
    </x:row>
    <x:row r="63">
      <x:c r="A63" s="9">
        <x:f>IF($B63="","",$B63&amp;"|"&amp;$C63)</x:f>
      </x:c>
      <x:c r="B63" s="10" t="n"/>
      <x:c r="C63" s="11" t="n"/>
      <x:c r="D63" s="10" t="n"/>
      <x:c r="E63" s="10" t="n"/>
      <x:c r="F63" s="10" t="n"/>
      <x:c r="G63" s="10" t="n"/>
      <x:c r="H63" s="10" t="n"/>
      <x:c r="I63" s="10" t="n"/>
      <x:c r="J63" s="10" t="n"/>
      <x:c r="K63" s="10" t="n"/>
      <x:c r="L63" s="10" t="n"/>
      <x:c r="M63" s="10" t="n"/>
      <x:c r="N63" s="10" t="n"/>
      <x:c r="O63" s="10" t="n"/>
      <x:c r="P63" s="10" t="n"/>
      <x:c r="Q63" s="10" t="n"/>
      <x:c r="R63" s="14">
        <x:f>IF($B63="","",IF($E63="P",($M63*Pick_Scoring!$B$6)+($Q63*Pick_Scoring!$B$7)+($O63*Pick_Scoring!$B$8)+($P63*Pick_Scoring!$B$9)-($N63*Pick_Scoring!$B$10),($F63*Pick_Scoring!$B$15)+($G63*Pick_Scoring!$B$16)+($H63*Pick_Scoring!$B$17)+($I63*Pick_Scoring!$B$18)+($J63*Pick_Scoring!$B$19)+($K63*Pick_Scoring!$B$20)-($L63*Pick_Scoring!$B$21)))</x:f>
      </x:c>
    </x:row>
    <x:row r="64">
      <x:c r="A64" s="9">
        <x:f>IF($B64="","",$B64&amp;"|"&amp;$C64)</x:f>
      </x:c>
      <x:c r="B64" s="10" t="n"/>
      <x:c r="C64" s="11" t="n"/>
      <x:c r="D64" s="10" t="n"/>
      <x:c r="E64" s="10" t="n"/>
      <x:c r="F64" s="10" t="n"/>
      <x:c r="G64" s="10" t="n"/>
      <x:c r="H64" s="10" t="n"/>
      <x:c r="I64" s="10" t="n"/>
      <x:c r="J64" s="10" t="n"/>
      <x:c r="K64" s="10" t="n"/>
      <x:c r="L64" s="10" t="n"/>
      <x:c r="M64" s="10" t="n"/>
      <x:c r="N64" s="10" t="n"/>
      <x:c r="O64" s="10" t="n"/>
      <x:c r="P64" s="10" t="n"/>
      <x:c r="Q64" s="10" t="n"/>
      <x:c r="R64" s="14">
        <x:f>IF($B64="","",IF($E64="P",($M64*Pick_Scoring!$B$6)+($Q64*Pick_Scoring!$B$7)+($O64*Pick_Scoring!$B$8)+($P64*Pick_Scoring!$B$9)-($N64*Pick_Scoring!$B$10),($F64*Pick_Scoring!$B$15)+($G64*Pick_Scoring!$B$16)+($H64*Pick_Scoring!$B$17)+($I64*Pick_Scoring!$B$18)+($J64*Pick_Scoring!$B$19)+($K64*Pick_Scoring!$B$20)-($L64*Pick_Scoring!$B$21)))</x:f>
      </x:c>
    </x:row>
    <x:row r="65">
      <x:c r="A65" s="9">
        <x:f>IF($B65="","",$B65&amp;"|"&amp;$C65)</x:f>
      </x:c>
      <x:c r="B65" s="10" t="n"/>
      <x:c r="C65" s="11" t="n"/>
      <x:c r="D65" s="10" t="n"/>
      <x:c r="E65" s="10" t="n"/>
      <x:c r="F65" s="10" t="n"/>
      <x:c r="G65" s="10" t="n"/>
      <x:c r="H65" s="10" t="n"/>
      <x:c r="I65" s="10" t="n"/>
      <x:c r="J65" s="10" t="n"/>
      <x:c r="K65" s="10" t="n"/>
      <x:c r="L65" s="10" t="n"/>
      <x:c r="M65" s="10" t="n"/>
      <x:c r="N65" s="10" t="n"/>
      <x:c r="O65" s="10" t="n"/>
      <x:c r="P65" s="10" t="n"/>
      <x:c r="Q65" s="10" t="n"/>
      <x:c r="R65" s="14">
        <x:f>IF($B65="","",IF($E65="P",($M65*Pick_Scoring!$B$6)+($Q65*Pick_Scoring!$B$7)+($O65*Pick_Scoring!$B$8)+($P65*Pick_Scoring!$B$9)-($N65*Pick_Scoring!$B$10),($F65*Pick_Scoring!$B$15)+($G65*Pick_Scoring!$B$16)+($H65*Pick_Scoring!$B$17)+($I65*Pick_Scoring!$B$18)+($J65*Pick_Scoring!$B$19)+($K65*Pick_Scoring!$B$20)-($L65*Pick_Scoring!$B$21)))</x:f>
      </x:c>
    </x:row>
    <x:row r="66">
      <x:c r="A66" s="9">
        <x:f>IF($B66="","",$B66&amp;"|"&amp;$C66)</x:f>
      </x:c>
      <x:c r="B66" s="10" t="n"/>
      <x:c r="C66" s="11" t="n"/>
      <x:c r="D66" s="10" t="n"/>
      <x:c r="E66" s="10" t="n"/>
      <x:c r="F66" s="10" t="n"/>
      <x:c r="G66" s="10" t="n"/>
      <x:c r="H66" s="10" t="n"/>
      <x:c r="I66" s="10" t="n"/>
      <x:c r="J66" s="10" t="n"/>
      <x:c r="K66" s="10" t="n"/>
      <x:c r="L66" s="10" t="n"/>
      <x:c r="M66" s="10" t="n"/>
      <x:c r="N66" s="10" t="n"/>
      <x:c r="O66" s="10" t="n"/>
      <x:c r="P66" s="10" t="n"/>
      <x:c r="Q66" s="10" t="n"/>
      <x:c r="R66" s="14">
        <x:f>IF($B66="","",IF($E66="P",($M66*Pick_Scoring!$B$6)+($Q66*Pick_Scoring!$B$7)+($O66*Pick_Scoring!$B$8)+($P66*Pick_Scoring!$B$9)-($N66*Pick_Scoring!$B$10),($F66*Pick_Scoring!$B$15)+($G66*Pick_Scoring!$B$16)+($H66*Pick_Scoring!$B$17)+($I66*Pick_Scoring!$B$18)+($J66*Pick_Scoring!$B$19)+($K66*Pick_Scoring!$B$20)-($L66*Pick_Scoring!$B$21)))</x:f>
      </x:c>
    </x:row>
    <x:row r="67">
      <x:c r="A67" s="9">
        <x:f>IF($B67="","",$B67&amp;"|"&amp;$C67)</x:f>
      </x:c>
      <x:c r="B67" s="10" t="n"/>
      <x:c r="C67" s="11" t="n"/>
      <x:c r="D67" s="10" t="n"/>
      <x:c r="E67" s="10" t="n"/>
      <x:c r="F67" s="10" t="n"/>
      <x:c r="G67" s="10" t="n"/>
      <x:c r="H67" s="10" t="n"/>
      <x:c r="I67" s="10" t="n"/>
      <x:c r="J67" s="10" t="n"/>
      <x:c r="K67" s="10" t="n"/>
      <x:c r="L67" s="10" t="n"/>
      <x:c r="M67" s="10" t="n"/>
      <x:c r="N67" s="10" t="n"/>
      <x:c r="O67" s="10" t="n"/>
      <x:c r="P67" s="10" t="n"/>
      <x:c r="Q67" s="10" t="n"/>
      <x:c r="R67" s="14">
        <x:f>IF($B67="","",IF($E67="P",($M67*Pick_Scoring!$B$6)+($Q67*Pick_Scoring!$B$7)+($O67*Pick_Scoring!$B$8)+($P67*Pick_Scoring!$B$9)-($N67*Pick_Scoring!$B$10),($F67*Pick_Scoring!$B$15)+($G67*Pick_Scoring!$B$16)+($H67*Pick_Scoring!$B$17)+($I67*Pick_Scoring!$B$18)+($J67*Pick_Scoring!$B$19)+($K67*Pick_Scoring!$B$20)-($L67*Pick_Scoring!$B$21)))</x:f>
      </x:c>
    </x:row>
    <x:row r="68">
      <x:c r="A68" s="9">
        <x:f>IF($B68="","",$B68&amp;"|"&amp;$C68)</x:f>
      </x:c>
      <x:c r="B68" s="10" t="n"/>
      <x:c r="C68" s="11" t="n"/>
      <x:c r="D68" s="10" t="n"/>
      <x:c r="E68" s="10" t="n"/>
      <x:c r="F68" s="10" t="n"/>
      <x:c r="G68" s="10" t="n"/>
      <x:c r="H68" s="10" t="n"/>
      <x:c r="I68" s="10" t="n"/>
      <x:c r="J68" s="10" t="n"/>
      <x:c r="K68" s="10" t="n"/>
      <x:c r="L68" s="10" t="n"/>
      <x:c r="M68" s="10" t="n"/>
      <x:c r="N68" s="10" t="n"/>
      <x:c r="O68" s="10" t="n"/>
      <x:c r="P68" s="10" t="n"/>
      <x:c r="Q68" s="10" t="n"/>
      <x:c r="R68" s="14">
        <x:f>IF($B68="","",IF($E68="P",($M68*Pick_Scoring!$B$6)+($Q68*Pick_Scoring!$B$7)+($O68*Pick_Scoring!$B$8)+($P68*Pick_Scoring!$B$9)-($N68*Pick_Scoring!$B$10),($F68*Pick_Scoring!$B$15)+($G68*Pick_Scoring!$B$16)+($H68*Pick_Scoring!$B$17)+($I68*Pick_Scoring!$B$18)+($J68*Pick_Scoring!$B$19)+($K68*Pick_Scoring!$B$20)-($L68*Pick_Scoring!$B$21)))</x:f>
      </x:c>
    </x:row>
    <x:row r="69">
      <x:c r="A69" s="9">
        <x:f>IF($B69="","",$B69&amp;"|"&amp;$C69)</x:f>
      </x:c>
      <x:c r="B69" s="10" t="n"/>
      <x:c r="C69" s="11" t="n"/>
      <x:c r="D69" s="10" t="n"/>
      <x:c r="E69" s="10" t="n"/>
      <x:c r="F69" s="10" t="n"/>
      <x:c r="G69" s="10" t="n"/>
      <x:c r="H69" s="10" t="n"/>
      <x:c r="I69" s="10" t="n"/>
      <x:c r="J69" s="10" t="n"/>
      <x:c r="K69" s="10" t="n"/>
      <x:c r="L69" s="10" t="n"/>
      <x:c r="M69" s="10" t="n"/>
      <x:c r="N69" s="10" t="n"/>
      <x:c r="O69" s="10" t="n"/>
      <x:c r="P69" s="10" t="n"/>
      <x:c r="Q69" s="10" t="n"/>
      <x:c r="R69" s="14">
        <x:f>IF($B69="","",IF($E69="P",($M69*Pick_Scoring!$B$6)+($Q69*Pick_Scoring!$B$7)+($O69*Pick_Scoring!$B$8)+($P69*Pick_Scoring!$B$9)-($N69*Pick_Scoring!$B$10),($F69*Pick_Scoring!$B$15)+($G69*Pick_Scoring!$B$16)+($H69*Pick_Scoring!$B$17)+($I69*Pick_Scoring!$B$18)+($J69*Pick_Scoring!$B$19)+($K69*Pick_Scoring!$B$20)-($L69*Pick_Scoring!$B$21)))</x:f>
      </x:c>
    </x:row>
    <x:row r="70">
      <x:c r="A70" s="9">
        <x:f>IF($B70="","",$B70&amp;"|"&amp;$C70)</x:f>
      </x:c>
      <x:c r="B70" s="10" t="n"/>
      <x:c r="C70" s="11" t="n"/>
      <x:c r="D70" s="10" t="n"/>
      <x:c r="E70" s="10" t="n"/>
      <x:c r="F70" s="10" t="n"/>
      <x:c r="G70" s="10" t="n"/>
      <x:c r="H70" s="10" t="n"/>
      <x:c r="I70" s="10" t="n"/>
      <x:c r="J70" s="10" t="n"/>
      <x:c r="K70" s="10" t="n"/>
      <x:c r="L70" s="10" t="n"/>
      <x:c r="M70" s="10" t="n"/>
      <x:c r="N70" s="10" t="n"/>
      <x:c r="O70" s="10" t="n"/>
      <x:c r="P70" s="10" t="n"/>
      <x:c r="Q70" s="10" t="n"/>
      <x:c r="R70" s="14">
        <x:f>IF($B70="","",IF($E70="P",($M70*Pick_Scoring!$B$6)+($Q70*Pick_Scoring!$B$7)+($O70*Pick_Scoring!$B$8)+($P70*Pick_Scoring!$B$9)-($N70*Pick_Scoring!$B$10),($F70*Pick_Scoring!$B$15)+($G70*Pick_Scoring!$B$16)+($H70*Pick_Scoring!$B$17)+($I70*Pick_Scoring!$B$18)+($J70*Pick_Scoring!$B$19)+($K70*Pick_Scoring!$B$20)-($L70*Pick_Scoring!$B$21)))</x:f>
      </x:c>
    </x:row>
    <x:row r="71">
      <x:c r="A71" s="9">
        <x:f>IF($B71="","",$B71&amp;"|"&amp;$C71)</x:f>
      </x:c>
      <x:c r="B71" s="10" t="n"/>
      <x:c r="C71" s="11" t="n"/>
      <x:c r="D71" s="10" t="n"/>
      <x:c r="E71" s="10" t="n"/>
      <x:c r="F71" s="10" t="n"/>
      <x:c r="G71" s="10" t="n"/>
      <x:c r="H71" s="10" t="n"/>
      <x:c r="I71" s="10" t="n"/>
      <x:c r="J71" s="10" t="n"/>
      <x:c r="K71" s="10" t="n"/>
      <x:c r="L71" s="10" t="n"/>
      <x:c r="M71" s="10" t="n"/>
      <x:c r="N71" s="10" t="n"/>
      <x:c r="O71" s="10" t="n"/>
      <x:c r="P71" s="10" t="n"/>
      <x:c r="Q71" s="10" t="n"/>
      <x:c r="R71" s="14">
        <x:f>IF($B71="","",IF($E71="P",($M71*Pick_Scoring!$B$6)+($Q71*Pick_Scoring!$B$7)+($O71*Pick_Scoring!$B$8)+($P71*Pick_Scoring!$B$9)-($N71*Pick_Scoring!$B$10),($F71*Pick_Scoring!$B$15)+($G71*Pick_Scoring!$B$16)+($H71*Pick_Scoring!$B$17)+($I71*Pick_Scoring!$B$18)+($J71*Pick_Scoring!$B$19)+($K71*Pick_Scoring!$B$20)-($L71*Pick_Scoring!$B$21)))</x:f>
      </x:c>
    </x:row>
    <x:row r="72">
      <x:c r="A72" s="9">
        <x:f>IF($B72="","",$B72&amp;"|"&amp;$C72)</x:f>
      </x:c>
      <x:c r="B72" s="10" t="n"/>
      <x:c r="C72" s="11" t="n"/>
      <x:c r="D72" s="10" t="n"/>
      <x:c r="E72" s="10" t="n"/>
      <x:c r="F72" s="10" t="n"/>
      <x:c r="G72" s="10" t="n"/>
      <x:c r="H72" s="10" t="n"/>
      <x:c r="I72" s="10" t="n"/>
      <x:c r="J72" s="10" t="n"/>
      <x:c r="K72" s="10" t="n"/>
      <x:c r="L72" s="10" t="n"/>
      <x:c r="M72" s="10" t="n"/>
      <x:c r="N72" s="10" t="n"/>
      <x:c r="O72" s="10" t="n"/>
      <x:c r="P72" s="10" t="n"/>
      <x:c r="Q72" s="10" t="n"/>
      <x:c r="R72" s="14">
        <x:f>IF($B72="","",IF($E72="P",($M72*Pick_Scoring!$B$6)+($Q72*Pick_Scoring!$B$7)+($O72*Pick_Scoring!$B$8)+($P72*Pick_Scoring!$B$9)-($N72*Pick_Scoring!$B$10),($F72*Pick_Scoring!$B$15)+($G72*Pick_Scoring!$B$16)+($H72*Pick_Scoring!$B$17)+($I72*Pick_Scoring!$B$18)+($J72*Pick_Scoring!$B$19)+($K72*Pick_Scoring!$B$20)-($L72*Pick_Scoring!$B$21)))</x:f>
      </x:c>
    </x:row>
    <x:row r="73">
      <x:c r="A73" s="9">
        <x:f>IF($B73="","",$B73&amp;"|"&amp;$C73)</x:f>
      </x:c>
      <x:c r="B73" s="10" t="n"/>
      <x:c r="C73" s="11" t="n"/>
      <x:c r="D73" s="10" t="n"/>
      <x:c r="E73" s="10" t="n"/>
      <x:c r="F73" s="10" t="n"/>
      <x:c r="G73" s="10" t="n"/>
      <x:c r="H73" s="10" t="n"/>
      <x:c r="I73" s="10" t="n"/>
      <x:c r="J73" s="10" t="n"/>
      <x:c r="K73" s="10" t="n"/>
      <x:c r="L73" s="10" t="n"/>
      <x:c r="M73" s="10" t="n"/>
      <x:c r="N73" s="10" t="n"/>
      <x:c r="O73" s="10" t="n"/>
      <x:c r="P73" s="10" t="n"/>
      <x:c r="Q73" s="10" t="n"/>
      <x:c r="R73" s="14">
        <x:f>IF($B73="","",IF($E73="P",($M73*Pick_Scoring!$B$6)+($Q73*Pick_Scoring!$B$7)+($O73*Pick_Scoring!$B$8)+($P73*Pick_Scoring!$B$9)-($N73*Pick_Scoring!$B$10),($F73*Pick_Scoring!$B$15)+($G73*Pick_Scoring!$B$16)+($H73*Pick_Scoring!$B$17)+($I73*Pick_Scoring!$B$18)+($J73*Pick_Scoring!$B$19)+($K73*Pick_Scoring!$B$20)-($L73*Pick_Scoring!$B$21)))</x:f>
      </x:c>
    </x:row>
    <x:row r="74">
      <x:c r="A74" s="9">
        <x:f>IF($B74="","",$B74&amp;"|"&amp;$C74)</x:f>
      </x:c>
      <x:c r="B74" s="10" t="n"/>
      <x:c r="C74" s="11" t="n"/>
      <x:c r="D74" s="10" t="n"/>
      <x:c r="E74" s="10" t="n"/>
      <x:c r="F74" s="10" t="n"/>
      <x:c r="G74" s="10" t="n"/>
      <x:c r="H74" s="10" t="n"/>
      <x:c r="I74" s="10" t="n"/>
      <x:c r="J74" s="10" t="n"/>
      <x:c r="K74" s="10" t="n"/>
      <x:c r="L74" s="10" t="n"/>
      <x:c r="M74" s="10" t="n"/>
      <x:c r="N74" s="10" t="n"/>
      <x:c r="O74" s="10" t="n"/>
      <x:c r="P74" s="10" t="n"/>
      <x:c r="Q74" s="10" t="n"/>
      <x:c r="R74" s="14">
        <x:f>IF($B74="","",IF($E74="P",($M74*Pick_Scoring!$B$6)+($Q74*Pick_Scoring!$B$7)+($O74*Pick_Scoring!$B$8)+($P74*Pick_Scoring!$B$9)-($N74*Pick_Scoring!$B$10),($F74*Pick_Scoring!$B$15)+($G74*Pick_Scoring!$B$16)+($H74*Pick_Scoring!$B$17)+($I74*Pick_Scoring!$B$18)+($J74*Pick_Scoring!$B$19)+($K74*Pick_Scoring!$B$20)-($L74*Pick_Scoring!$B$21)))</x:f>
      </x:c>
    </x:row>
    <x:row r="75">
      <x:c r="A75" s="9">
        <x:f>IF($B75="","",$B75&amp;"|"&amp;$C75)</x:f>
      </x:c>
      <x:c r="B75" s="10" t="n"/>
      <x:c r="C75" s="11" t="n"/>
      <x:c r="D75" s="10" t="n"/>
      <x:c r="E75" s="10" t="n"/>
      <x:c r="F75" s="10" t="n"/>
      <x:c r="G75" s="10" t="n"/>
      <x:c r="H75" s="10" t="n"/>
      <x:c r="I75" s="10" t="n"/>
      <x:c r="J75" s="10" t="n"/>
      <x:c r="K75" s="10" t="n"/>
      <x:c r="L75" s="10" t="n"/>
      <x:c r="M75" s="10" t="n"/>
      <x:c r="N75" s="10" t="n"/>
      <x:c r="O75" s="10" t="n"/>
      <x:c r="P75" s="10" t="n"/>
      <x:c r="Q75" s="10" t="n"/>
      <x:c r="R75" s="14">
        <x:f>IF($B75="","",IF($E75="P",($M75*Pick_Scoring!$B$6)+($Q75*Pick_Scoring!$B$7)+($O75*Pick_Scoring!$B$8)+($P75*Pick_Scoring!$B$9)-($N75*Pick_Scoring!$B$10),($F75*Pick_Scoring!$B$15)+($G75*Pick_Scoring!$B$16)+($H75*Pick_Scoring!$B$17)+($I75*Pick_Scoring!$B$18)+($J75*Pick_Scoring!$B$19)+($K75*Pick_Scoring!$B$20)-($L75*Pick_Scoring!$B$21)))</x:f>
      </x:c>
    </x:row>
    <x:row r="76">
      <x:c r="A76" s="9">
        <x:f>IF($B76="","",$B76&amp;"|"&amp;$C76)</x:f>
      </x:c>
      <x:c r="B76" s="10" t="n"/>
      <x:c r="C76" s="11" t="n"/>
      <x:c r="D76" s="10" t="n"/>
      <x:c r="E76" s="10" t="n"/>
      <x:c r="F76" s="10" t="n"/>
      <x:c r="G76" s="10" t="n"/>
      <x:c r="H76" s="10" t="n"/>
      <x:c r="I76" s="10" t="n"/>
      <x:c r="J76" s="10" t="n"/>
      <x:c r="K76" s="10" t="n"/>
      <x:c r="L76" s="10" t="n"/>
      <x:c r="M76" s="10" t="n"/>
      <x:c r="N76" s="10" t="n"/>
      <x:c r="O76" s="10" t="n"/>
      <x:c r="P76" s="10" t="n"/>
      <x:c r="Q76" s="10" t="n"/>
      <x:c r="R76" s="14">
        <x:f>IF($B76="","",IF($E76="P",($M76*Pick_Scoring!$B$6)+($Q76*Pick_Scoring!$B$7)+($O76*Pick_Scoring!$B$8)+($P76*Pick_Scoring!$B$9)-($N76*Pick_Scoring!$B$10),($F76*Pick_Scoring!$B$15)+($G76*Pick_Scoring!$B$16)+($H76*Pick_Scoring!$B$17)+($I76*Pick_Scoring!$B$18)+($J76*Pick_Scoring!$B$19)+($K76*Pick_Scoring!$B$20)-($L76*Pick_Scoring!$B$21)))</x:f>
      </x:c>
    </x:row>
    <x:row r="77">
      <x:c r="A77" s="9">
        <x:f>IF($B77="","",$B77&amp;"|"&amp;$C77)</x:f>
      </x:c>
      <x:c r="B77" s="10" t="n"/>
      <x:c r="C77" s="11" t="n"/>
      <x:c r="D77" s="10" t="n"/>
      <x:c r="E77" s="10" t="n"/>
      <x:c r="F77" s="10" t="n"/>
      <x:c r="G77" s="10" t="n"/>
      <x:c r="H77" s="10" t="n"/>
      <x:c r="I77" s="10" t="n"/>
      <x:c r="J77" s="10" t="n"/>
      <x:c r="K77" s="10" t="n"/>
      <x:c r="L77" s="10" t="n"/>
      <x:c r="M77" s="10" t="n"/>
      <x:c r="N77" s="10" t="n"/>
      <x:c r="O77" s="10" t="n"/>
      <x:c r="P77" s="10" t="n"/>
      <x:c r="Q77" s="10" t="n"/>
      <x:c r="R77" s="14">
        <x:f>IF($B77="","",IF($E77="P",($M77*Pick_Scoring!$B$6)+($Q77*Pick_Scoring!$B$7)+($O77*Pick_Scoring!$B$8)+($P77*Pick_Scoring!$B$9)-($N77*Pick_Scoring!$B$10),($F77*Pick_Scoring!$B$15)+($G77*Pick_Scoring!$B$16)+($H77*Pick_Scoring!$B$17)+($I77*Pick_Scoring!$B$18)+($J77*Pick_Scoring!$B$19)+($K77*Pick_Scoring!$B$20)-($L77*Pick_Scoring!$B$21)))</x:f>
      </x:c>
    </x:row>
    <x:row r="78">
      <x:c r="A78" s="9">
        <x:f>IF($B78="","",$B78&amp;"|"&amp;$C78)</x:f>
      </x:c>
      <x:c r="B78" s="10" t="n"/>
      <x:c r="C78" s="11" t="n"/>
      <x:c r="D78" s="10" t="n"/>
      <x:c r="E78" s="10" t="n"/>
      <x:c r="F78" s="10" t="n"/>
      <x:c r="G78" s="10" t="n"/>
      <x:c r="H78" s="10" t="n"/>
      <x:c r="I78" s="10" t="n"/>
      <x:c r="J78" s="10" t="n"/>
      <x:c r="K78" s="10" t="n"/>
      <x:c r="L78" s="10" t="n"/>
      <x:c r="M78" s="10" t="n"/>
      <x:c r="N78" s="10" t="n"/>
      <x:c r="O78" s="10" t="n"/>
      <x:c r="P78" s="10" t="n"/>
      <x:c r="Q78" s="10" t="n"/>
      <x:c r="R78" s="14">
        <x:f>IF($B78="","",IF($E78="P",($M78*Pick_Scoring!$B$6)+($Q78*Pick_Scoring!$B$7)+($O78*Pick_Scoring!$B$8)+($P78*Pick_Scoring!$B$9)-($N78*Pick_Scoring!$B$10),($F78*Pick_Scoring!$B$15)+($G78*Pick_Scoring!$B$16)+($H78*Pick_Scoring!$B$17)+($I78*Pick_Scoring!$B$18)+($J78*Pick_Scoring!$B$19)+($K78*Pick_Scoring!$B$20)-($L78*Pick_Scoring!$B$21)))</x:f>
      </x:c>
    </x:row>
    <x:row r="79">
      <x:c r="A79" s="9">
        <x:f>IF($B79="","",$B79&amp;"|"&amp;$C79)</x:f>
      </x:c>
      <x:c r="B79" s="10" t="n"/>
      <x:c r="C79" s="11" t="n"/>
      <x:c r="D79" s="10" t="n"/>
      <x:c r="E79" s="10" t="n"/>
      <x:c r="F79" s="10" t="n"/>
      <x:c r="G79" s="10" t="n"/>
      <x:c r="H79" s="10" t="n"/>
      <x:c r="I79" s="10" t="n"/>
      <x:c r="J79" s="10" t="n"/>
      <x:c r="K79" s="10" t="n"/>
      <x:c r="L79" s="10" t="n"/>
      <x:c r="M79" s="10" t="n"/>
      <x:c r="N79" s="10" t="n"/>
      <x:c r="O79" s="10" t="n"/>
      <x:c r="P79" s="10" t="n"/>
      <x:c r="Q79" s="10" t="n"/>
      <x:c r="R79" s="14">
        <x:f>IF($B79="","",IF($E79="P",($M79*Pick_Scoring!$B$6)+($Q79*Pick_Scoring!$B$7)+($O79*Pick_Scoring!$B$8)+($P79*Pick_Scoring!$B$9)-($N79*Pick_Scoring!$B$10),($F79*Pick_Scoring!$B$15)+($G79*Pick_Scoring!$B$16)+($H79*Pick_Scoring!$B$17)+($I79*Pick_Scoring!$B$18)+($J79*Pick_Scoring!$B$19)+($K79*Pick_Scoring!$B$20)-($L79*Pick_Scoring!$B$21)))</x:f>
      </x:c>
    </x:row>
    <x:row r="80">
      <x:c r="A80" s="9">
        <x:f>IF($B80="","",$B80&amp;"|"&amp;$C80)</x:f>
      </x:c>
      <x:c r="B80" s="10" t="n"/>
      <x:c r="C80" s="11" t="n"/>
      <x:c r="D80" s="10" t="n"/>
      <x:c r="E80" s="10" t="n"/>
      <x:c r="F80" s="10" t="n"/>
      <x:c r="G80" s="10" t="n"/>
      <x:c r="H80" s="10" t="n"/>
      <x:c r="I80" s="10" t="n"/>
      <x:c r="J80" s="10" t="n"/>
      <x:c r="K80" s="10" t="n"/>
      <x:c r="L80" s="10" t="n"/>
      <x:c r="M80" s="10" t="n"/>
      <x:c r="N80" s="10" t="n"/>
      <x:c r="O80" s="10" t="n"/>
      <x:c r="P80" s="10" t="n"/>
      <x:c r="Q80" s="10" t="n"/>
      <x:c r="R80" s="14">
        <x:f>IF($B80="","",IF($E80="P",($M80*Pick_Scoring!$B$6)+($Q80*Pick_Scoring!$B$7)+($O80*Pick_Scoring!$B$8)+($P80*Pick_Scoring!$B$9)-($N80*Pick_Scoring!$B$10),($F80*Pick_Scoring!$B$15)+($G80*Pick_Scoring!$B$16)+($H80*Pick_Scoring!$B$17)+($I80*Pick_Scoring!$B$18)+($J80*Pick_Scoring!$B$19)+($K80*Pick_Scoring!$B$20)-($L80*Pick_Scoring!$B$21)))</x:f>
      </x:c>
    </x:row>
    <x:row r="81">
      <x:c r="A81" s="9">
        <x:f>IF($B81="","",$B81&amp;"|"&amp;$C81)</x:f>
      </x:c>
      <x:c r="B81" s="10" t="n"/>
      <x:c r="C81" s="11" t="n"/>
      <x:c r="D81" s="10" t="n"/>
      <x:c r="E81" s="10" t="n"/>
      <x:c r="F81" s="10" t="n"/>
      <x:c r="G81" s="10" t="n"/>
      <x:c r="H81" s="10" t="n"/>
      <x:c r="I81" s="10" t="n"/>
      <x:c r="J81" s="10" t="n"/>
      <x:c r="K81" s="10" t="n"/>
      <x:c r="L81" s="10" t="n"/>
      <x:c r="M81" s="10" t="n"/>
      <x:c r="N81" s="10" t="n"/>
      <x:c r="O81" s="10" t="n"/>
      <x:c r="P81" s="10" t="n"/>
      <x:c r="Q81" s="10" t="n"/>
      <x:c r="R81" s="14">
        <x:f>IF($B81="","",IF($E81="P",($M81*Pick_Scoring!$B$6)+($Q81*Pick_Scoring!$B$7)+($O81*Pick_Scoring!$B$8)+($P81*Pick_Scoring!$B$9)-($N81*Pick_Scoring!$B$10),($F81*Pick_Scoring!$B$15)+($G81*Pick_Scoring!$B$16)+($H81*Pick_Scoring!$B$17)+($I81*Pick_Scoring!$B$18)+($J81*Pick_Scoring!$B$19)+($K81*Pick_Scoring!$B$20)-($L81*Pick_Scoring!$B$21)))</x:f>
      </x:c>
    </x:row>
    <x:row r="82">
      <x:c r="A82" s="9">
        <x:f>IF($B82="","",$B82&amp;"|"&amp;$C82)</x:f>
      </x:c>
      <x:c r="B82" s="10" t="n"/>
      <x:c r="C82" s="11" t="n"/>
      <x:c r="D82" s="10" t="n"/>
      <x:c r="E82" s="10" t="n"/>
      <x:c r="F82" s="10" t="n"/>
      <x:c r="G82" s="10" t="n"/>
      <x:c r="H82" s="10" t="n"/>
      <x:c r="I82" s="10" t="n"/>
      <x:c r="J82" s="10" t="n"/>
      <x:c r="K82" s="10" t="n"/>
      <x:c r="L82" s="10" t="n"/>
      <x:c r="M82" s="10" t="n"/>
      <x:c r="N82" s="10" t="n"/>
      <x:c r="O82" s="10" t="n"/>
      <x:c r="P82" s="10" t="n"/>
      <x:c r="Q82" s="10" t="n"/>
      <x:c r="R82" s="14">
        <x:f>IF($B82="","",IF($E82="P",($M82*Pick_Scoring!$B$6)+($Q82*Pick_Scoring!$B$7)+($O82*Pick_Scoring!$B$8)+($P82*Pick_Scoring!$B$9)-($N82*Pick_Scoring!$B$10),($F82*Pick_Scoring!$B$15)+($G82*Pick_Scoring!$B$16)+($H82*Pick_Scoring!$B$17)+($I82*Pick_Scoring!$B$18)+($J82*Pick_Scoring!$B$19)+($K82*Pick_Scoring!$B$20)-($L82*Pick_Scoring!$B$21)))</x:f>
      </x:c>
    </x:row>
    <x:row r="83">
      <x:c r="A83" s="9">
        <x:f>IF($B83="","",$B83&amp;"|"&amp;$C83)</x:f>
      </x:c>
      <x:c r="B83" s="10" t="n"/>
      <x:c r="C83" s="11" t="n"/>
      <x:c r="D83" s="10" t="n"/>
      <x:c r="E83" s="10" t="n"/>
      <x:c r="F83" s="10" t="n"/>
      <x:c r="G83" s="10" t="n"/>
      <x:c r="H83" s="10" t="n"/>
      <x:c r="I83" s="10" t="n"/>
      <x:c r="J83" s="10" t="n"/>
      <x:c r="K83" s="10" t="n"/>
      <x:c r="L83" s="10" t="n"/>
      <x:c r="M83" s="10" t="n"/>
      <x:c r="N83" s="10" t="n"/>
      <x:c r="O83" s="10" t="n"/>
      <x:c r="P83" s="10" t="n"/>
      <x:c r="Q83" s="10" t="n"/>
      <x:c r="R83" s="14">
        <x:f>IF($B83="","",IF($E83="P",($M83*Pick_Scoring!$B$6)+($Q83*Pick_Scoring!$B$7)+($O83*Pick_Scoring!$B$8)+($P83*Pick_Scoring!$B$9)-($N83*Pick_Scoring!$B$10),($F83*Pick_Scoring!$B$15)+($G83*Pick_Scoring!$B$16)+($H83*Pick_Scoring!$B$17)+($I83*Pick_Scoring!$B$18)+($J83*Pick_Scoring!$B$19)+($K83*Pick_Scoring!$B$20)-($L83*Pick_Scoring!$B$21)))</x:f>
      </x:c>
    </x:row>
    <x:row r="84">
      <x:c r="A84" s="9">
        <x:f>IF($B84="","",$B84&amp;"|"&amp;$C84)</x:f>
      </x:c>
      <x:c r="B84" s="10" t="n"/>
      <x:c r="C84" s="11" t="n"/>
      <x:c r="D84" s="10" t="n"/>
      <x:c r="E84" s="10" t="n"/>
      <x:c r="F84" s="10" t="n"/>
      <x:c r="G84" s="10" t="n"/>
      <x:c r="H84" s="10" t="n"/>
      <x:c r="I84" s="10" t="n"/>
      <x:c r="J84" s="10" t="n"/>
      <x:c r="K84" s="10" t="n"/>
      <x:c r="L84" s="10" t="n"/>
      <x:c r="M84" s="10" t="n"/>
      <x:c r="N84" s="10" t="n"/>
      <x:c r="O84" s="10" t="n"/>
      <x:c r="P84" s="10" t="n"/>
      <x:c r="Q84" s="10" t="n"/>
      <x:c r="R84" s="14">
        <x:f>IF($B84="","",IF($E84="P",($M84*Pick_Scoring!$B$6)+($Q84*Pick_Scoring!$B$7)+($O84*Pick_Scoring!$B$8)+($P84*Pick_Scoring!$B$9)-($N84*Pick_Scoring!$B$10),($F84*Pick_Scoring!$B$15)+($G84*Pick_Scoring!$B$16)+($H84*Pick_Scoring!$B$17)+($I84*Pick_Scoring!$B$18)+($J84*Pick_Scoring!$B$19)+($K84*Pick_Scoring!$B$20)-($L84*Pick_Scoring!$B$21)))</x:f>
      </x:c>
    </x:row>
    <x:row r="85">
      <x:c r="A85" s="9">
        <x:f>IF($B85="","",$B85&amp;"|"&amp;$C85)</x:f>
      </x:c>
      <x:c r="B85" s="10" t="n"/>
      <x:c r="C85" s="11" t="n"/>
      <x:c r="D85" s="10" t="n"/>
      <x:c r="E85" s="10" t="n"/>
      <x:c r="F85" s="10" t="n"/>
      <x:c r="G85" s="10" t="n"/>
      <x:c r="H85" s="10" t="n"/>
      <x:c r="I85" s="10" t="n"/>
      <x:c r="J85" s="10" t="n"/>
      <x:c r="K85" s="10" t="n"/>
      <x:c r="L85" s="10" t="n"/>
      <x:c r="M85" s="10" t="n"/>
      <x:c r="N85" s="10" t="n"/>
      <x:c r="O85" s="10" t="n"/>
      <x:c r="P85" s="10" t="n"/>
      <x:c r="Q85" s="10" t="n"/>
      <x:c r="R85" s="14">
        <x:f>IF($B85="","",IF($E85="P",($M85*Pick_Scoring!$B$6)+($Q85*Pick_Scoring!$B$7)+($O85*Pick_Scoring!$B$8)+($P85*Pick_Scoring!$B$9)-($N85*Pick_Scoring!$B$10),($F85*Pick_Scoring!$B$15)+($G85*Pick_Scoring!$B$16)+($H85*Pick_Scoring!$B$17)+($I85*Pick_Scoring!$B$18)+($J85*Pick_Scoring!$B$19)+($K85*Pick_Scoring!$B$20)-($L85*Pick_Scoring!$B$21)))</x:f>
      </x:c>
    </x:row>
    <x:row r="86">
      <x:c r="A86" s="9">
        <x:f>IF($B86="","",$B86&amp;"|"&amp;$C86)</x:f>
      </x:c>
      <x:c r="B86" s="10" t="n"/>
      <x:c r="C86" s="11" t="n"/>
      <x:c r="D86" s="10" t="n"/>
      <x:c r="E86" s="10" t="n"/>
      <x:c r="F86" s="10" t="n"/>
      <x:c r="G86" s="10" t="n"/>
      <x:c r="H86" s="10" t="n"/>
      <x:c r="I86" s="10" t="n"/>
      <x:c r="J86" s="10" t="n"/>
      <x:c r="K86" s="10" t="n"/>
      <x:c r="L86" s="10" t="n"/>
      <x:c r="M86" s="10" t="n"/>
      <x:c r="N86" s="10" t="n"/>
      <x:c r="O86" s="10" t="n"/>
      <x:c r="P86" s="10" t="n"/>
      <x:c r="Q86" s="10" t="n"/>
      <x:c r="R86" s="14">
        <x:f>IF($B86="","",IF($E86="P",($M86*Pick_Scoring!$B$6)+($Q86*Pick_Scoring!$B$7)+($O86*Pick_Scoring!$B$8)+($P86*Pick_Scoring!$B$9)-($N86*Pick_Scoring!$B$10),($F86*Pick_Scoring!$B$15)+($G86*Pick_Scoring!$B$16)+($H86*Pick_Scoring!$B$17)+($I86*Pick_Scoring!$B$18)+($J86*Pick_Scoring!$B$19)+($K86*Pick_Scoring!$B$20)-($L86*Pick_Scoring!$B$21)))</x:f>
      </x:c>
    </x:row>
    <x:row r="87">
      <x:c r="A87" s="9">
        <x:f>IF($B87="","",$B87&amp;"|"&amp;$C87)</x:f>
      </x:c>
      <x:c r="B87" s="10" t="n"/>
      <x:c r="C87" s="11" t="n"/>
      <x:c r="D87" s="10" t="n"/>
      <x:c r="E87" s="10" t="n"/>
      <x:c r="F87" s="10" t="n"/>
      <x:c r="G87" s="10" t="n"/>
      <x:c r="H87" s="10" t="n"/>
      <x:c r="I87" s="10" t="n"/>
      <x:c r="J87" s="10" t="n"/>
      <x:c r="K87" s="10" t="n"/>
      <x:c r="L87" s="10" t="n"/>
      <x:c r="M87" s="10" t="n"/>
      <x:c r="N87" s="10" t="n"/>
      <x:c r="O87" s="10" t="n"/>
      <x:c r="P87" s="10" t="n"/>
      <x:c r="Q87" s="10" t="n"/>
      <x:c r="R87" s="14">
        <x:f>IF($B87="","",IF($E87="P",($M87*Pick_Scoring!$B$6)+($Q87*Pick_Scoring!$B$7)+($O87*Pick_Scoring!$B$8)+($P87*Pick_Scoring!$B$9)-($N87*Pick_Scoring!$B$10),($F87*Pick_Scoring!$B$15)+($G87*Pick_Scoring!$B$16)+($H87*Pick_Scoring!$B$17)+($I87*Pick_Scoring!$B$18)+($J87*Pick_Scoring!$B$19)+($K87*Pick_Scoring!$B$20)-($L87*Pick_Scoring!$B$21)))</x:f>
      </x:c>
    </x:row>
    <x:row r="88">
      <x:c r="A88" s="9">
        <x:f>IF($B88="","",$B88&amp;"|"&amp;$C88)</x:f>
      </x:c>
      <x:c r="B88" s="10" t="n"/>
      <x:c r="C88" s="11" t="n"/>
      <x:c r="D88" s="10" t="n"/>
      <x:c r="E88" s="10" t="n"/>
      <x:c r="F88" s="10" t="n"/>
      <x:c r="G88" s="10" t="n"/>
      <x:c r="H88" s="10" t="n"/>
      <x:c r="I88" s="10" t="n"/>
      <x:c r="J88" s="10" t="n"/>
      <x:c r="K88" s="10" t="n"/>
      <x:c r="L88" s="10" t="n"/>
      <x:c r="M88" s="10" t="n"/>
      <x:c r="N88" s="10" t="n"/>
      <x:c r="O88" s="10" t="n"/>
      <x:c r="P88" s="10" t="n"/>
      <x:c r="Q88" s="10" t="n"/>
      <x:c r="R88" s="14">
        <x:f>IF($B88="","",IF($E88="P",($M88*Pick_Scoring!$B$6)+($Q88*Pick_Scoring!$B$7)+($O88*Pick_Scoring!$B$8)+($P88*Pick_Scoring!$B$9)-($N88*Pick_Scoring!$B$10),($F88*Pick_Scoring!$B$15)+($G88*Pick_Scoring!$B$16)+($H88*Pick_Scoring!$B$17)+($I88*Pick_Scoring!$B$18)+($J88*Pick_Scoring!$B$19)+($K88*Pick_Scoring!$B$20)-($L88*Pick_Scoring!$B$21)))</x:f>
      </x:c>
    </x:row>
    <x:row r="89">
      <x:c r="A89" s="9">
        <x:f>IF($B89="","",$B89&amp;"|"&amp;$C89)</x:f>
      </x:c>
      <x:c r="B89" s="10" t="n"/>
      <x:c r="C89" s="11" t="n"/>
      <x:c r="D89" s="10" t="n"/>
      <x:c r="E89" s="10" t="n"/>
      <x:c r="F89" s="10" t="n"/>
      <x:c r="G89" s="10" t="n"/>
      <x:c r="H89" s="10" t="n"/>
      <x:c r="I89" s="10" t="n"/>
      <x:c r="J89" s="10" t="n"/>
      <x:c r="K89" s="10" t="n"/>
      <x:c r="L89" s="10" t="n"/>
      <x:c r="M89" s="10" t="n"/>
      <x:c r="N89" s="10" t="n"/>
      <x:c r="O89" s="10" t="n"/>
      <x:c r="P89" s="10" t="n"/>
      <x:c r="Q89" s="10" t="n"/>
      <x:c r="R89" s="14">
        <x:f>IF($B89="","",IF($E89="P",($M89*Pick_Scoring!$B$6)+($Q89*Pick_Scoring!$B$7)+($O89*Pick_Scoring!$B$8)+($P89*Pick_Scoring!$B$9)-($N89*Pick_Scoring!$B$10),($F89*Pick_Scoring!$B$15)+($G89*Pick_Scoring!$B$16)+($H89*Pick_Scoring!$B$17)+($I89*Pick_Scoring!$B$18)+($J89*Pick_Scoring!$B$19)+($K89*Pick_Scoring!$B$20)-($L89*Pick_Scoring!$B$21)))</x:f>
      </x:c>
    </x:row>
    <x:row r="90">
      <x:c r="A90" s="9">
        <x:f>IF($B90="","",$B90&amp;"|"&amp;$C90)</x:f>
      </x:c>
      <x:c r="B90" s="10" t="n"/>
      <x:c r="C90" s="11" t="n"/>
      <x:c r="D90" s="10" t="n"/>
      <x:c r="E90" s="10" t="n"/>
      <x:c r="F90" s="10" t="n"/>
      <x:c r="G90" s="10" t="n"/>
      <x:c r="H90" s="10" t="n"/>
      <x:c r="I90" s="10" t="n"/>
      <x:c r="J90" s="10" t="n"/>
      <x:c r="K90" s="10" t="n"/>
      <x:c r="L90" s="10" t="n"/>
      <x:c r="M90" s="10" t="n"/>
      <x:c r="N90" s="10" t="n"/>
      <x:c r="O90" s="10" t="n"/>
      <x:c r="P90" s="10" t="n"/>
      <x:c r="Q90" s="10" t="n"/>
      <x:c r="R90" s="14">
        <x:f>IF($B90="","",IF($E90="P",($M90*Pick_Scoring!$B$6)+($Q90*Pick_Scoring!$B$7)+($O90*Pick_Scoring!$B$8)+($P90*Pick_Scoring!$B$9)-($N90*Pick_Scoring!$B$10),($F90*Pick_Scoring!$B$15)+($G90*Pick_Scoring!$B$16)+($H90*Pick_Scoring!$B$17)+($I90*Pick_Scoring!$B$18)+($J90*Pick_Scoring!$B$19)+($K90*Pick_Scoring!$B$20)-($L90*Pick_Scoring!$B$21)))</x:f>
      </x:c>
    </x:row>
    <x:row r="91">
      <x:c r="A91" s="9">
        <x:f>IF($B91="","",$B91&amp;"|"&amp;$C91)</x:f>
      </x:c>
      <x:c r="B91" s="10" t="n"/>
      <x:c r="C91" s="11" t="n"/>
      <x:c r="D91" s="10" t="n"/>
      <x:c r="E91" s="10" t="n"/>
      <x:c r="F91" s="10" t="n"/>
      <x:c r="G91" s="10" t="n"/>
      <x:c r="H91" s="10" t="n"/>
      <x:c r="I91" s="10" t="n"/>
      <x:c r="J91" s="10" t="n"/>
      <x:c r="K91" s="10" t="n"/>
      <x:c r="L91" s="10" t="n"/>
      <x:c r="M91" s="10" t="n"/>
      <x:c r="N91" s="10" t="n"/>
      <x:c r="O91" s="10" t="n"/>
      <x:c r="P91" s="10" t="n"/>
      <x:c r="Q91" s="10" t="n"/>
      <x:c r="R91" s="14">
        <x:f>IF($B91="","",IF($E91="P",($M91*Pick_Scoring!$B$6)+($Q91*Pick_Scoring!$B$7)+($O91*Pick_Scoring!$B$8)+($P91*Pick_Scoring!$B$9)-($N91*Pick_Scoring!$B$10),($F91*Pick_Scoring!$B$15)+($G91*Pick_Scoring!$B$16)+($H91*Pick_Scoring!$B$17)+($I91*Pick_Scoring!$B$18)+($J91*Pick_Scoring!$B$19)+($K91*Pick_Scoring!$B$20)-($L91*Pick_Scoring!$B$21)))</x:f>
      </x:c>
    </x:row>
    <x:row r="92">
      <x:c r="A92" s="9">
        <x:f>IF($B92="","",$B92&amp;"|"&amp;$C92)</x:f>
      </x:c>
      <x:c r="B92" s="10" t="n"/>
      <x:c r="C92" s="11" t="n"/>
      <x:c r="D92" s="10" t="n"/>
      <x:c r="E92" s="10" t="n"/>
      <x:c r="F92" s="10" t="n"/>
      <x:c r="G92" s="10" t="n"/>
      <x:c r="H92" s="10" t="n"/>
      <x:c r="I92" s="10" t="n"/>
      <x:c r="J92" s="10" t="n"/>
      <x:c r="K92" s="10" t="n"/>
      <x:c r="L92" s="10" t="n"/>
      <x:c r="M92" s="10" t="n"/>
      <x:c r="N92" s="10" t="n"/>
      <x:c r="O92" s="10" t="n"/>
      <x:c r="P92" s="10" t="n"/>
      <x:c r="Q92" s="10" t="n"/>
      <x:c r="R92" s="14">
        <x:f>IF($B92="","",IF($E92="P",($M92*Pick_Scoring!$B$6)+($Q92*Pick_Scoring!$B$7)+($O92*Pick_Scoring!$B$8)+($P92*Pick_Scoring!$B$9)-($N92*Pick_Scoring!$B$10),($F92*Pick_Scoring!$B$15)+($G92*Pick_Scoring!$B$16)+($H92*Pick_Scoring!$B$17)+($I92*Pick_Scoring!$B$18)+($J92*Pick_Scoring!$B$19)+($K92*Pick_Scoring!$B$20)-($L92*Pick_Scoring!$B$21)))</x:f>
      </x:c>
    </x:row>
    <x:row r="93">
      <x:c r="A93" s="9">
        <x:f>IF($B93="","",$B93&amp;"|"&amp;$C93)</x:f>
      </x:c>
      <x:c r="B93" s="10" t="n"/>
      <x:c r="C93" s="11" t="n"/>
      <x:c r="D93" s="10" t="n"/>
      <x:c r="E93" s="10" t="n"/>
      <x:c r="F93" s="10" t="n"/>
      <x:c r="G93" s="10" t="n"/>
      <x:c r="H93" s="10" t="n"/>
      <x:c r="I93" s="10" t="n"/>
      <x:c r="J93" s="10" t="n"/>
      <x:c r="K93" s="10" t="n"/>
      <x:c r="L93" s="10" t="n"/>
      <x:c r="M93" s="10" t="n"/>
      <x:c r="N93" s="10" t="n"/>
      <x:c r="O93" s="10" t="n"/>
      <x:c r="P93" s="10" t="n"/>
      <x:c r="Q93" s="10" t="n"/>
      <x:c r="R93" s="14">
        <x:f>IF($B93="","",IF($E93="P",($M93*Pick_Scoring!$B$6)+($Q93*Pick_Scoring!$B$7)+($O93*Pick_Scoring!$B$8)+($P93*Pick_Scoring!$B$9)-($N93*Pick_Scoring!$B$10),($F93*Pick_Scoring!$B$15)+($G93*Pick_Scoring!$B$16)+($H93*Pick_Scoring!$B$17)+($I93*Pick_Scoring!$B$18)+($J93*Pick_Scoring!$B$19)+($K93*Pick_Scoring!$B$20)-($L93*Pick_Scoring!$B$21)))</x:f>
      </x:c>
    </x:row>
    <x:row r="94">
      <x:c r="A94" s="9">
        <x:f>IF($B94="","",$B94&amp;"|"&amp;$C94)</x:f>
      </x:c>
      <x:c r="B94" s="10" t="n"/>
      <x:c r="C94" s="11" t="n"/>
      <x:c r="D94" s="10" t="n"/>
      <x:c r="E94" s="10" t="n"/>
      <x:c r="F94" s="10" t="n"/>
      <x:c r="G94" s="10" t="n"/>
      <x:c r="H94" s="10" t="n"/>
      <x:c r="I94" s="10" t="n"/>
      <x:c r="J94" s="10" t="n"/>
      <x:c r="K94" s="10" t="n"/>
      <x:c r="L94" s="10" t="n"/>
      <x:c r="M94" s="10" t="n"/>
      <x:c r="N94" s="10" t="n"/>
      <x:c r="O94" s="10" t="n"/>
      <x:c r="P94" s="10" t="n"/>
      <x:c r="Q94" s="10" t="n"/>
      <x:c r="R94" s="14">
        <x:f>IF($B94="","",IF($E94="P",($M94*Pick_Scoring!$B$6)+($Q94*Pick_Scoring!$B$7)+($O94*Pick_Scoring!$B$8)+($P94*Pick_Scoring!$B$9)-($N94*Pick_Scoring!$B$10),($F94*Pick_Scoring!$B$15)+($G94*Pick_Scoring!$B$16)+($H94*Pick_Scoring!$B$17)+($I94*Pick_Scoring!$B$18)+($J94*Pick_Scoring!$B$19)+($K94*Pick_Scoring!$B$20)-($L94*Pick_Scoring!$B$21)))</x:f>
      </x:c>
    </x:row>
    <x:row r="95">
      <x:c r="A95" s="9">
        <x:f>IF($B95="","",$B95&amp;"|"&amp;$C95)</x:f>
      </x:c>
      <x:c r="B95" s="10" t="n"/>
      <x:c r="C95" s="11" t="n"/>
      <x:c r="D95" s="10" t="n"/>
      <x:c r="E95" s="10" t="n"/>
      <x:c r="F95" s="10" t="n"/>
      <x:c r="G95" s="10" t="n"/>
      <x:c r="H95" s="10" t="n"/>
      <x:c r="I95" s="10" t="n"/>
      <x:c r="J95" s="10" t="n"/>
      <x:c r="K95" s="10" t="n"/>
      <x:c r="L95" s="10" t="n"/>
      <x:c r="M95" s="10" t="n"/>
      <x:c r="N95" s="10" t="n"/>
      <x:c r="O95" s="10" t="n"/>
      <x:c r="P95" s="10" t="n"/>
      <x:c r="Q95" s="10" t="n"/>
      <x:c r="R95" s="14">
        <x:f>IF($B95="","",IF($E95="P",($M95*Pick_Scoring!$B$6)+($Q95*Pick_Scoring!$B$7)+($O95*Pick_Scoring!$B$8)+($P95*Pick_Scoring!$B$9)-($N95*Pick_Scoring!$B$10),($F95*Pick_Scoring!$B$15)+($G95*Pick_Scoring!$B$16)+($H95*Pick_Scoring!$B$17)+($I95*Pick_Scoring!$B$18)+($J95*Pick_Scoring!$B$19)+($K95*Pick_Scoring!$B$20)-($L95*Pick_Scoring!$B$21)))</x:f>
      </x:c>
    </x:row>
    <x:row r="96">
      <x:c r="A96" s="9">
        <x:f>IF($B96="","",$B96&amp;"|"&amp;$C96)</x:f>
      </x:c>
      <x:c r="B96" s="10" t="n"/>
      <x:c r="C96" s="11" t="n"/>
      <x:c r="D96" s="10" t="n"/>
      <x:c r="E96" s="10" t="n"/>
      <x:c r="F96" s="10" t="n"/>
      <x:c r="G96" s="10" t="n"/>
      <x:c r="H96" s="10" t="n"/>
      <x:c r="I96" s="10" t="n"/>
      <x:c r="J96" s="10" t="n"/>
      <x:c r="K96" s="10" t="n"/>
      <x:c r="L96" s="10" t="n"/>
      <x:c r="M96" s="10" t="n"/>
      <x:c r="N96" s="10" t="n"/>
      <x:c r="O96" s="10" t="n"/>
      <x:c r="P96" s="10" t="n"/>
      <x:c r="Q96" s="10" t="n"/>
      <x:c r="R96" s="14">
        <x:f>IF($B96="","",IF($E96="P",($M96*Pick_Scoring!$B$6)+($Q96*Pick_Scoring!$B$7)+($O96*Pick_Scoring!$B$8)+($P96*Pick_Scoring!$B$9)-($N96*Pick_Scoring!$B$10),($F96*Pick_Scoring!$B$15)+($G96*Pick_Scoring!$B$16)+($H96*Pick_Scoring!$B$17)+($I96*Pick_Scoring!$B$18)+($J96*Pick_Scoring!$B$19)+($K96*Pick_Scoring!$B$20)-($L96*Pick_Scoring!$B$21)))</x:f>
      </x:c>
    </x:row>
    <x:row r="97">
      <x:c r="A97" s="9">
        <x:f>IF($B97="","",$B97&amp;"|"&amp;$C97)</x:f>
      </x:c>
      <x:c r="B97" s="10" t="n"/>
      <x:c r="C97" s="11" t="n"/>
      <x:c r="D97" s="10" t="n"/>
      <x:c r="E97" s="10" t="n"/>
      <x:c r="F97" s="10" t="n"/>
      <x:c r="G97" s="10" t="n"/>
      <x:c r="H97" s="10" t="n"/>
      <x:c r="I97" s="10" t="n"/>
      <x:c r="J97" s="10" t="n"/>
      <x:c r="K97" s="10" t="n"/>
      <x:c r="L97" s="10" t="n"/>
      <x:c r="M97" s="10" t="n"/>
      <x:c r="N97" s="10" t="n"/>
      <x:c r="O97" s="10" t="n"/>
      <x:c r="P97" s="10" t="n"/>
      <x:c r="Q97" s="10" t="n"/>
      <x:c r="R97" s="14">
        <x:f>IF($B97="","",IF($E97="P",($M97*Pick_Scoring!$B$6)+($Q97*Pick_Scoring!$B$7)+($O97*Pick_Scoring!$B$8)+($P97*Pick_Scoring!$B$9)-($N97*Pick_Scoring!$B$10),($F97*Pick_Scoring!$B$15)+($G97*Pick_Scoring!$B$16)+($H97*Pick_Scoring!$B$17)+($I97*Pick_Scoring!$B$18)+($J97*Pick_Scoring!$B$19)+($K97*Pick_Scoring!$B$20)-($L97*Pick_Scoring!$B$21)))</x:f>
      </x:c>
    </x:row>
    <x:row r="98">
      <x:c r="A98" s="9">
        <x:f>IF($B98="","",$B98&amp;"|"&amp;$C98)</x:f>
      </x:c>
      <x:c r="B98" s="10" t="n"/>
      <x:c r="C98" s="11" t="n"/>
      <x:c r="D98" s="10" t="n"/>
      <x:c r="E98" s="10" t="n"/>
      <x:c r="F98" s="10" t="n"/>
      <x:c r="G98" s="10" t="n"/>
      <x:c r="H98" s="10" t="n"/>
      <x:c r="I98" s="10" t="n"/>
      <x:c r="J98" s="10" t="n"/>
      <x:c r="K98" s="10" t="n"/>
      <x:c r="L98" s="10" t="n"/>
      <x:c r="M98" s="10" t="n"/>
      <x:c r="N98" s="10" t="n"/>
      <x:c r="O98" s="10" t="n"/>
      <x:c r="P98" s="10" t="n"/>
      <x:c r="Q98" s="10" t="n"/>
      <x:c r="R98" s="14">
        <x:f>IF($B98="","",IF($E98="P",($M98*Pick_Scoring!$B$6)+($Q98*Pick_Scoring!$B$7)+($O98*Pick_Scoring!$B$8)+($P98*Pick_Scoring!$B$9)-($N98*Pick_Scoring!$B$10),($F98*Pick_Scoring!$B$15)+($G98*Pick_Scoring!$B$16)+($H98*Pick_Scoring!$B$17)+($I98*Pick_Scoring!$B$18)+($J98*Pick_Scoring!$B$19)+($K98*Pick_Scoring!$B$20)-($L98*Pick_Scoring!$B$21)))</x:f>
      </x:c>
    </x:row>
    <x:row r="99">
      <x:c r="A99" s="9">
        <x:f>IF($B99="","",$B99&amp;"|"&amp;$C99)</x:f>
      </x:c>
      <x:c r="B99" s="10" t="n"/>
      <x:c r="C99" s="11" t="n"/>
      <x:c r="D99" s="10" t="n"/>
      <x:c r="E99" s="10" t="n"/>
      <x:c r="F99" s="10" t="n"/>
      <x:c r="G99" s="10" t="n"/>
      <x:c r="H99" s="10" t="n"/>
      <x:c r="I99" s="10" t="n"/>
      <x:c r="J99" s="10" t="n"/>
      <x:c r="K99" s="10" t="n"/>
      <x:c r="L99" s="10" t="n"/>
      <x:c r="M99" s="10" t="n"/>
      <x:c r="N99" s="10" t="n"/>
      <x:c r="O99" s="10" t="n"/>
      <x:c r="P99" s="10" t="n"/>
      <x:c r="Q99" s="10" t="n"/>
      <x:c r="R99" s="14">
        <x:f>IF($B99="","",IF($E99="P",($M99*Pick_Scoring!$B$6)+($Q99*Pick_Scoring!$B$7)+($O99*Pick_Scoring!$B$8)+($P99*Pick_Scoring!$B$9)-($N99*Pick_Scoring!$B$10),($F99*Pick_Scoring!$B$15)+($G99*Pick_Scoring!$B$16)+($H99*Pick_Scoring!$B$17)+($I99*Pick_Scoring!$B$18)+($J99*Pick_Scoring!$B$19)+($K99*Pick_Scoring!$B$20)-($L99*Pick_Scoring!$B$21)))</x:f>
      </x:c>
    </x:row>
    <x:row r="100">
      <x:c r="A100" s="9">
        <x:f>IF($B100="","",$B100&amp;"|"&amp;$C100)</x:f>
      </x:c>
      <x:c r="B100" s="10" t="n"/>
      <x:c r="C100" s="11" t="n"/>
      <x:c r="D100" s="10" t="n"/>
      <x:c r="E100" s="10" t="n"/>
      <x:c r="F100" s="10" t="n"/>
      <x:c r="G100" s="10" t="n"/>
      <x:c r="H100" s="10" t="n"/>
      <x:c r="I100" s="10" t="n"/>
      <x:c r="J100" s="10" t="n"/>
      <x:c r="K100" s="10" t="n"/>
      <x:c r="L100" s="10" t="n"/>
      <x:c r="M100" s="10" t="n"/>
      <x:c r="N100" s="10" t="n"/>
      <x:c r="O100" s="10" t="n"/>
      <x:c r="P100" s="10" t="n"/>
      <x:c r="Q100" s="10" t="n"/>
      <x:c r="R100" s="14">
        <x:f>IF($B100="","",IF($E100="P",($M100*Pick_Scoring!$B$6)+($Q100*Pick_Scoring!$B$7)+($O100*Pick_Scoring!$B$8)+($P100*Pick_Scoring!$B$9)-($N100*Pick_Scoring!$B$10),($F100*Pick_Scoring!$B$15)+($G100*Pick_Scoring!$B$16)+($H100*Pick_Scoring!$B$17)+($I100*Pick_Scoring!$B$18)+($J100*Pick_Scoring!$B$19)+($K100*Pick_Scoring!$B$20)-($L100*Pick_Scoring!$B$21)))</x:f>
      </x:c>
    </x:row>
    <x:row r="101">
      <x:c r="A101" s="9">
        <x:f>IF($B101="","",$B101&amp;"|"&amp;$C101)</x:f>
      </x:c>
      <x:c r="B101" s="10" t="n"/>
      <x:c r="C101" s="11" t="n"/>
      <x:c r="D101" s="10" t="n"/>
      <x:c r="E101" s="10" t="n"/>
      <x:c r="F101" s="10" t="n"/>
      <x:c r="G101" s="10" t="n"/>
      <x:c r="H101" s="10" t="n"/>
      <x:c r="I101" s="10" t="n"/>
      <x:c r="J101" s="10" t="n"/>
      <x:c r="K101" s="10" t="n"/>
      <x:c r="L101" s="10" t="n"/>
      <x:c r="M101" s="10" t="n"/>
      <x:c r="N101" s="10" t="n"/>
      <x:c r="O101" s="10" t="n"/>
      <x:c r="P101" s="10" t="n"/>
      <x:c r="Q101" s="10" t="n"/>
      <x:c r="R101" s="14">
        <x:f>IF($B101="","",IF($E101="P",($M101*Pick_Scoring!$B$6)+($Q101*Pick_Scoring!$B$7)+($O101*Pick_Scoring!$B$8)+($P101*Pick_Scoring!$B$9)-($N101*Pick_Scoring!$B$10),($F101*Pick_Scoring!$B$15)+($G101*Pick_Scoring!$B$16)+($H101*Pick_Scoring!$B$17)+($I101*Pick_Scoring!$B$18)+($J101*Pick_Scoring!$B$19)+($K101*Pick_Scoring!$B$20)-($L101*Pick_Scoring!$B$21)))</x:f>
      </x:c>
    </x:row>
    <x:row r="102">
      <x:c r="A102" s="9">
        <x:f>IF($B102="","",$B102&amp;"|"&amp;$C102)</x:f>
      </x:c>
      <x:c r="B102" s="10" t="n"/>
      <x:c r="C102" s="11" t="n"/>
      <x:c r="D102" s="10" t="n"/>
      <x:c r="E102" s="10" t="n"/>
      <x:c r="F102" s="10" t="n"/>
      <x:c r="G102" s="10" t="n"/>
      <x:c r="H102" s="10" t="n"/>
      <x:c r="I102" s="10" t="n"/>
      <x:c r="J102" s="10" t="n"/>
      <x:c r="K102" s="10" t="n"/>
      <x:c r="L102" s="10" t="n"/>
      <x:c r="M102" s="10" t="n"/>
      <x:c r="N102" s="10" t="n"/>
      <x:c r="O102" s="10" t="n"/>
      <x:c r="P102" s="10" t="n"/>
      <x:c r="Q102" s="10" t="n"/>
      <x:c r="R102" s="14">
        <x:f>IF($B102="","",IF($E102="P",($M102*Pick_Scoring!$B$6)+($Q102*Pick_Scoring!$B$7)+($O102*Pick_Scoring!$B$8)+($P102*Pick_Scoring!$B$9)-($N102*Pick_Scoring!$B$10),($F102*Pick_Scoring!$B$15)+($G102*Pick_Scoring!$B$16)+($H102*Pick_Scoring!$B$17)+($I102*Pick_Scoring!$B$18)+($J102*Pick_Scoring!$B$19)+($K102*Pick_Scoring!$B$20)-($L102*Pick_Scoring!$B$21)))</x:f>
      </x:c>
    </x:row>
    <x:row r="103">
      <x:c r="A103" s="9">
        <x:f>IF($B103="","",$B103&amp;"|"&amp;$C103)</x:f>
      </x:c>
      <x:c r="B103" s="10" t="n"/>
      <x:c r="C103" s="11" t="n"/>
      <x:c r="D103" s="10" t="n"/>
      <x:c r="E103" s="10" t="n"/>
      <x:c r="F103" s="10" t="n"/>
      <x:c r="G103" s="10" t="n"/>
      <x:c r="H103" s="10" t="n"/>
      <x:c r="I103" s="10" t="n"/>
      <x:c r="J103" s="10" t="n"/>
      <x:c r="K103" s="10" t="n"/>
      <x:c r="L103" s="10" t="n"/>
      <x:c r="M103" s="10" t="n"/>
      <x:c r="N103" s="10" t="n"/>
      <x:c r="O103" s="10" t="n"/>
      <x:c r="P103" s="10" t="n"/>
      <x:c r="Q103" s="10" t="n"/>
      <x:c r="R103" s="14">
        <x:f>IF($B103="","",IF($E103="P",($M103*Pick_Scoring!$B$6)+($Q103*Pick_Scoring!$B$7)+($O103*Pick_Scoring!$B$8)+($P103*Pick_Scoring!$B$9)-($N103*Pick_Scoring!$B$10),($F103*Pick_Scoring!$B$15)+($G103*Pick_Scoring!$B$16)+($H103*Pick_Scoring!$B$17)+($I103*Pick_Scoring!$B$18)+($J103*Pick_Scoring!$B$19)+($K103*Pick_Scoring!$B$20)-($L103*Pick_Scoring!$B$21)))</x:f>
      </x:c>
    </x:row>
    <x:row r="104">
      <x:c r="A104" s="9">
        <x:f>IF($B104="","",$B104&amp;"|"&amp;$C104)</x:f>
      </x:c>
      <x:c r="B104" s="10" t="n"/>
      <x:c r="C104" s="11" t="n"/>
      <x:c r="D104" s="10" t="n"/>
      <x:c r="E104" s="10" t="n"/>
      <x:c r="F104" s="10" t="n"/>
      <x:c r="G104" s="10" t="n"/>
      <x:c r="H104" s="10" t="n"/>
      <x:c r="I104" s="10" t="n"/>
      <x:c r="J104" s="10" t="n"/>
      <x:c r="K104" s="10" t="n"/>
      <x:c r="L104" s="10" t="n"/>
      <x:c r="M104" s="10" t="n"/>
      <x:c r="N104" s="10" t="n"/>
      <x:c r="O104" s="10" t="n"/>
      <x:c r="P104" s="10" t="n"/>
      <x:c r="Q104" s="10" t="n"/>
      <x:c r="R104" s="14">
        <x:f>IF($B104="","",IF($E104="P",($M104*Pick_Scoring!$B$6)+($Q104*Pick_Scoring!$B$7)+($O104*Pick_Scoring!$B$8)+($P104*Pick_Scoring!$B$9)-($N104*Pick_Scoring!$B$10),($F104*Pick_Scoring!$B$15)+($G104*Pick_Scoring!$B$16)+($H104*Pick_Scoring!$B$17)+($I104*Pick_Scoring!$B$18)+($J104*Pick_Scoring!$B$19)+($K104*Pick_Scoring!$B$20)-($L104*Pick_Scoring!$B$21)))</x:f>
      </x:c>
    </x:row>
    <x:row r="105">
      <x:c r="A105" s="9">
        <x:f>IF($B105="","",$B105&amp;"|"&amp;$C105)</x:f>
      </x:c>
      <x:c r="B105" s="10" t="n"/>
      <x:c r="C105" s="11" t="n"/>
      <x:c r="D105" s="10" t="n"/>
      <x:c r="E105" s="10" t="n"/>
      <x:c r="F105" s="10" t="n"/>
      <x:c r="G105" s="10" t="n"/>
      <x:c r="H105" s="10" t="n"/>
      <x:c r="I105" s="10" t="n"/>
      <x:c r="J105" s="10" t="n"/>
      <x:c r="K105" s="10" t="n"/>
      <x:c r="L105" s="10" t="n"/>
      <x:c r="M105" s="10" t="n"/>
      <x:c r="N105" s="10" t="n"/>
      <x:c r="O105" s="10" t="n"/>
      <x:c r="P105" s="10" t="n"/>
      <x:c r="Q105" s="10" t="n"/>
      <x:c r="R105" s="14">
        <x:f>IF($B105="","",IF($E105="P",($M105*Pick_Scoring!$B$6)+($Q105*Pick_Scoring!$B$7)+($O105*Pick_Scoring!$B$8)+($P105*Pick_Scoring!$B$9)-($N105*Pick_Scoring!$B$10),($F105*Pick_Scoring!$B$15)+($G105*Pick_Scoring!$B$16)+($H105*Pick_Scoring!$B$17)+($I105*Pick_Scoring!$B$18)+($J105*Pick_Scoring!$B$19)+($K105*Pick_Scoring!$B$20)-($L105*Pick_Scoring!$B$21))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8" customWidth="1"/>
    <x:col min="3" max="3" width="10" customWidth="1"/>
    <x:col min="4" max="4" width="22" customWidth="1"/>
    <x:col min="5" max="5" width="10" customWidth="1"/>
    <x:col min="6" max="6" width="10" customWidth="1"/>
    <x:col min="7" max="7" width="28" customWidth="1"/>
    <x:col min="8" max="8" width="12" customWidth="1"/>
  </x:cols>
  <x:sheetData>
    <x:row r="1">
      <x:c r="A1" s="1" t="inlineStr">
        <x:is>
          <x:t xml:space="preserve">Your 6-Player Picks (one row per pick)</x:t>
        </x:is>
      </x:c>
    </x:row>
    <x:row r="3">
      <x:c r="A3" s="8" t="inlineStr">
        <x:is>
          <x:t xml:space="preserve">Enter GameID + User + PlayerName. PlayerPoints pulls from Player_Stats via Key.</x:t>
        </x:is>
      </x:c>
    </x:row>
    <x:row r="5" ht="22" customHeight="1">
      <x:c r="A5" s="5" t="inlineStr">
        <x:is>
          <x:t xml:space="preserve">GameID</x:t>
        </x:is>
      </x:c>
      <x:c r="B5" s="5" t="inlineStr">
        <x:is>
          <x:t xml:space="preserve">User</x:t>
        </x:is>
      </x:c>
      <x:c r="C5" s="5" t="inlineStr">
        <x:is>
          <x:t xml:space="preserve">PickSlot</x:t>
        </x:is>
      </x:c>
      <x:c r="D5" s="5" t="inlineStr">
        <x:is>
          <x:t xml:space="preserve">PlayerName</x:t>
        </x:is>
      </x:c>
      <x:c r="E5" s="5" t="inlineStr">
        <x:is>
          <x:t xml:space="preserve">Team</x:t>
        </x:is>
      </x:c>
      <x:c r="F5" s="5" t="inlineStr">
        <x:is>
          <x:t xml:space="preserve">Role (P/B)</x:t>
        </x:is>
      </x:c>
      <x:c r="G5" s="5" t="inlineStr">
        <x:is>
          <x:t xml:space="preserve">Key</x:t>
        </x:is>
      </x:c>
      <x:c r="H5" s="5" t="inlineStr">
        <x:is>
          <x:t xml:space="preserve">PlayerPoints</x:t>
        </x:is>
      </x:c>
    </x:row>
    <x:row r="6">
      <x:c r="A6" s="10" t="n"/>
      <x:c r="B6" s="10" t="n"/>
      <x:c r="C6" s="10" t="n"/>
      <x:c r="D6" s="11" t="n"/>
      <x:c r="E6" s="10" t="n"/>
      <x:c r="F6" s="10" t="n"/>
      <x:c r="G6" s="9">
        <x:f>IF($A6="","",$A6&amp;"|"&amp;$D6)</x:f>
      </x:c>
      <x:c r="H6" s="14">
        <x:f>IF($G6="","",IFERROR(VLOOKUP($G6,Player_Stats!$A$6:$R$505,18,FALSE),0))</x:f>
      </x:c>
    </x:row>
    <x:row r="7">
      <x:c r="A7" s="10" t="n"/>
      <x:c r="B7" s="10" t="n"/>
      <x:c r="C7" s="10" t="n"/>
      <x:c r="D7" s="11" t="n"/>
      <x:c r="E7" s="10" t="n"/>
      <x:c r="F7" s="10" t="n"/>
      <x:c r="G7" s="9">
        <x:f>IF($A7="","",$A7&amp;"|"&amp;$D7)</x:f>
      </x:c>
      <x:c r="H7" s="14">
        <x:f>IF($G7="","",IFERROR(VLOOKUP($G7,Player_Stats!$A$6:$R$505,18,FALSE),0))</x:f>
      </x:c>
    </x:row>
    <x:row r="8">
      <x:c r="A8" s="10" t="n"/>
      <x:c r="B8" s="10" t="n"/>
      <x:c r="C8" s="10" t="n"/>
      <x:c r="D8" s="11" t="n"/>
      <x:c r="E8" s="10" t="n"/>
      <x:c r="F8" s="10" t="n"/>
      <x:c r="G8" s="9">
        <x:f>IF($A8="","",$A8&amp;"|"&amp;$D8)</x:f>
      </x:c>
      <x:c r="H8" s="14">
        <x:f>IF($G8="","",IFERROR(VLOOKUP($G8,Player_Stats!$A$6:$R$505,18,FALSE),0))</x:f>
      </x:c>
    </x:row>
    <x:row r="9">
      <x:c r="A9" s="10" t="n"/>
      <x:c r="B9" s="10" t="n"/>
      <x:c r="C9" s="10" t="n"/>
      <x:c r="D9" s="11" t="n"/>
      <x:c r="E9" s="10" t="n"/>
      <x:c r="F9" s="10" t="n"/>
      <x:c r="G9" s="9">
        <x:f>IF($A9="","",$A9&amp;"|"&amp;$D9)</x:f>
      </x:c>
      <x:c r="H9" s="14">
        <x:f>IF($G9="","",IFERROR(VLOOKUP($G9,Player_Stats!$A$6:$R$505,18,FALSE),0))</x:f>
      </x:c>
    </x:row>
    <x:row r="10">
      <x:c r="A10" s="10" t="n"/>
      <x:c r="B10" s="10" t="n"/>
      <x:c r="C10" s="10" t="n"/>
      <x:c r="D10" s="11" t="n"/>
      <x:c r="E10" s="10" t="n"/>
      <x:c r="F10" s="10" t="n"/>
      <x:c r="G10" s="9">
        <x:f>IF($A10="","",$A10&amp;"|"&amp;$D10)</x:f>
      </x:c>
      <x:c r="H10" s="14">
        <x:f>IF($G10="","",IFERROR(VLOOKUP($G10,Player_Stats!$A$6:$R$505,18,FALSE),0))</x:f>
      </x:c>
    </x:row>
    <x:row r="11">
      <x:c r="A11" s="10" t="n"/>
      <x:c r="B11" s="10" t="n"/>
      <x:c r="C11" s="10" t="n"/>
      <x:c r="D11" s="11" t="n"/>
      <x:c r="E11" s="10" t="n"/>
      <x:c r="F11" s="10" t="n"/>
      <x:c r="G11" s="9">
        <x:f>IF($A11="","",$A11&amp;"|"&amp;$D11)</x:f>
      </x:c>
      <x:c r="H11" s="14">
        <x:f>IF($G11="","",IFERROR(VLOOKUP($G11,Player_Stats!$A$6:$R$505,18,FALSE),0))</x:f>
      </x:c>
    </x:row>
    <x:row r="12">
      <x:c r="A12" s="10" t="n"/>
      <x:c r="B12" s="10" t="n"/>
      <x:c r="C12" s="10" t="n"/>
      <x:c r="D12" s="11" t="n"/>
      <x:c r="E12" s="10" t="n"/>
      <x:c r="F12" s="10" t="n"/>
      <x:c r="G12" s="9">
        <x:f>IF($A12="","",$A12&amp;"|"&amp;$D12)</x:f>
      </x:c>
      <x:c r="H12" s="14">
        <x:f>IF($G12="","",IFERROR(VLOOKUP($G12,Player_Stats!$A$6:$R$505,18,FALSE),0))</x:f>
      </x:c>
    </x:row>
    <x:row r="13">
      <x:c r="A13" s="10" t="n"/>
      <x:c r="B13" s="10" t="n"/>
      <x:c r="C13" s="10" t="n"/>
      <x:c r="D13" s="11" t="n"/>
      <x:c r="E13" s="10" t="n"/>
      <x:c r="F13" s="10" t="n"/>
      <x:c r="G13" s="9">
        <x:f>IF($A13="","",$A13&amp;"|"&amp;$D13)</x:f>
      </x:c>
      <x:c r="H13" s="14">
        <x:f>IF($G13="","",IFERROR(VLOOKUP($G13,Player_Stats!$A$6:$R$505,18,FALSE),0))</x:f>
      </x:c>
    </x:row>
    <x:row r="14">
      <x:c r="A14" s="10" t="n"/>
      <x:c r="B14" s="10" t="n"/>
      <x:c r="C14" s="10" t="n"/>
      <x:c r="D14" s="11" t="n"/>
      <x:c r="E14" s="10" t="n"/>
      <x:c r="F14" s="10" t="n"/>
      <x:c r="G14" s="9">
        <x:f>IF($A14="","",$A14&amp;"|"&amp;$D14)</x:f>
      </x:c>
      <x:c r="H14" s="14">
        <x:f>IF($G14="","",IFERROR(VLOOKUP($G14,Player_Stats!$A$6:$R$505,18,FALSE),0))</x:f>
      </x:c>
    </x:row>
    <x:row r="15">
      <x:c r="A15" s="10" t="n"/>
      <x:c r="B15" s="10" t="n"/>
      <x:c r="C15" s="10" t="n"/>
      <x:c r="D15" s="11" t="n"/>
      <x:c r="E15" s="10" t="n"/>
      <x:c r="F15" s="10" t="n"/>
      <x:c r="G15" s="9">
        <x:f>IF($A15="","",$A15&amp;"|"&amp;$D15)</x:f>
      </x:c>
      <x:c r="H15" s="14">
        <x:f>IF($G15="","",IFERROR(VLOOKUP($G15,Player_Stats!$A$6:$R$505,18,FALSE),0))</x:f>
      </x:c>
    </x:row>
    <x:row r="16">
      <x:c r="A16" s="10" t="n"/>
      <x:c r="B16" s="10" t="n"/>
      <x:c r="C16" s="10" t="n"/>
      <x:c r="D16" s="11" t="n"/>
      <x:c r="E16" s="10" t="n"/>
      <x:c r="F16" s="10" t="n"/>
      <x:c r="G16" s="9">
        <x:f>IF($A16="","",$A16&amp;"|"&amp;$D16)</x:f>
      </x:c>
      <x:c r="H16" s="14">
        <x:f>IF($G16="","",IFERROR(VLOOKUP($G16,Player_Stats!$A$6:$R$505,18,FALSE),0))</x:f>
      </x:c>
    </x:row>
    <x:row r="17">
      <x:c r="A17" s="10" t="n"/>
      <x:c r="B17" s="10" t="n"/>
      <x:c r="C17" s="10" t="n"/>
      <x:c r="D17" s="11" t="n"/>
      <x:c r="E17" s="10" t="n"/>
      <x:c r="F17" s="10" t="n"/>
      <x:c r="G17" s="9">
        <x:f>IF($A17="","",$A17&amp;"|"&amp;$D17)</x:f>
      </x:c>
      <x:c r="H17" s="14">
        <x:f>IF($G17="","",IFERROR(VLOOKUP($G17,Player_Stats!$A$6:$R$505,18,FALSE),0))</x:f>
      </x:c>
    </x:row>
    <x:row r="18">
      <x:c r="A18" s="10" t="n"/>
      <x:c r="B18" s="10" t="n"/>
      <x:c r="C18" s="10" t="n"/>
      <x:c r="D18" s="11" t="n"/>
      <x:c r="E18" s="10" t="n"/>
      <x:c r="F18" s="10" t="n"/>
      <x:c r="G18" s="9">
        <x:f>IF($A18="","",$A18&amp;"|"&amp;$D18)</x:f>
      </x:c>
      <x:c r="H18" s="14">
        <x:f>IF($G18="","",IFERROR(VLOOKUP($G18,Player_Stats!$A$6:$R$505,18,FALSE),0))</x:f>
      </x:c>
    </x:row>
    <x:row r="19">
      <x:c r="A19" s="10" t="n"/>
      <x:c r="B19" s="10" t="n"/>
      <x:c r="C19" s="10" t="n"/>
      <x:c r="D19" s="11" t="n"/>
      <x:c r="E19" s="10" t="n"/>
      <x:c r="F19" s="10" t="n"/>
      <x:c r="G19" s="9">
        <x:f>IF($A19="","",$A19&amp;"|"&amp;$D19)</x:f>
      </x:c>
      <x:c r="H19" s="14">
        <x:f>IF($G19="","",IFERROR(VLOOKUP($G19,Player_Stats!$A$6:$R$505,18,FALSE),0))</x:f>
      </x:c>
    </x:row>
    <x:row r="20">
      <x:c r="A20" s="10" t="n"/>
      <x:c r="B20" s="10" t="n"/>
      <x:c r="C20" s="10" t="n"/>
      <x:c r="D20" s="11" t="n"/>
      <x:c r="E20" s="10" t="n"/>
      <x:c r="F20" s="10" t="n"/>
      <x:c r="G20" s="9">
        <x:f>IF($A20="","",$A20&amp;"|"&amp;$D20)</x:f>
      </x:c>
      <x:c r="H20" s="14">
        <x:f>IF($G20="","",IFERROR(VLOOKUP($G20,Player_Stats!$A$6:$R$505,18,FALSE),0))</x:f>
      </x:c>
    </x:row>
    <x:row r="21">
      <x:c r="A21" s="10" t="n"/>
      <x:c r="B21" s="10" t="n"/>
      <x:c r="C21" s="10" t="n"/>
      <x:c r="D21" s="11" t="n"/>
      <x:c r="E21" s="10" t="n"/>
      <x:c r="F21" s="10" t="n"/>
      <x:c r="G21" s="9">
        <x:f>IF($A21="","",$A21&amp;"|"&amp;$D21)</x:f>
      </x:c>
      <x:c r="H21" s="14">
        <x:f>IF($G21="","",IFERROR(VLOOKUP($G21,Player_Stats!$A$6:$R$505,18,FALSE),0))</x:f>
      </x:c>
    </x:row>
    <x:row r="22">
      <x:c r="A22" s="10" t="n"/>
      <x:c r="B22" s="10" t="n"/>
      <x:c r="C22" s="10" t="n"/>
      <x:c r="D22" s="11" t="n"/>
      <x:c r="E22" s="10" t="n"/>
      <x:c r="F22" s="10" t="n"/>
      <x:c r="G22" s="9">
        <x:f>IF($A22="","",$A22&amp;"|"&amp;$D22)</x:f>
      </x:c>
      <x:c r="H22" s="14">
        <x:f>IF($G22="","",IFERROR(VLOOKUP($G22,Player_Stats!$A$6:$R$505,18,FALSE),0))</x:f>
      </x:c>
    </x:row>
    <x:row r="23">
      <x:c r="A23" s="10" t="n"/>
      <x:c r="B23" s="10" t="n"/>
      <x:c r="C23" s="10" t="n"/>
      <x:c r="D23" s="11" t="n"/>
      <x:c r="E23" s="10" t="n"/>
      <x:c r="F23" s="10" t="n"/>
      <x:c r="G23" s="9">
        <x:f>IF($A23="","",$A23&amp;"|"&amp;$D23)</x:f>
      </x:c>
      <x:c r="H23" s="14">
        <x:f>IF($G23="","",IFERROR(VLOOKUP($G23,Player_Stats!$A$6:$R$505,18,FALSE),0))</x:f>
      </x:c>
    </x:row>
    <x:row r="24">
      <x:c r="A24" s="10" t="n"/>
      <x:c r="B24" s="10" t="n"/>
      <x:c r="C24" s="10" t="n"/>
      <x:c r="D24" s="11" t="n"/>
      <x:c r="E24" s="10" t="n"/>
      <x:c r="F24" s="10" t="n"/>
      <x:c r="G24" s="9">
        <x:f>IF($A24="","",$A24&amp;"|"&amp;$D24)</x:f>
      </x:c>
      <x:c r="H24" s="14">
        <x:f>IF($G24="","",IFERROR(VLOOKUP($G24,Player_Stats!$A$6:$R$505,18,FALSE),0))</x:f>
      </x:c>
    </x:row>
    <x:row r="25">
      <x:c r="A25" s="10" t="n"/>
      <x:c r="B25" s="10" t="n"/>
      <x:c r="C25" s="10" t="n"/>
      <x:c r="D25" s="11" t="n"/>
      <x:c r="E25" s="10" t="n"/>
      <x:c r="F25" s="10" t="n"/>
      <x:c r="G25" s="9">
        <x:f>IF($A25="","",$A25&amp;"|"&amp;$D25)</x:f>
      </x:c>
      <x:c r="H25" s="14">
        <x:f>IF($G25="","",IFERROR(VLOOKUP($G25,Player_Stats!$A$6:$R$505,18,FALSE),0))</x:f>
      </x:c>
    </x:row>
    <x:row r="26">
      <x:c r="A26" s="10" t="n"/>
      <x:c r="B26" s="10" t="n"/>
      <x:c r="C26" s="10" t="n"/>
      <x:c r="D26" s="11" t="n"/>
      <x:c r="E26" s="10" t="n"/>
      <x:c r="F26" s="10" t="n"/>
      <x:c r="G26" s="9">
        <x:f>IF($A26="","",$A26&amp;"|"&amp;$D26)</x:f>
      </x:c>
      <x:c r="H26" s="14">
        <x:f>IF($G26="","",IFERROR(VLOOKUP($G26,Player_Stats!$A$6:$R$505,18,FALSE),0))</x:f>
      </x:c>
    </x:row>
    <x:row r="27">
      <x:c r="A27" s="10" t="n"/>
      <x:c r="B27" s="10" t="n"/>
      <x:c r="C27" s="10" t="n"/>
      <x:c r="D27" s="11" t="n"/>
      <x:c r="E27" s="10" t="n"/>
      <x:c r="F27" s="10" t="n"/>
      <x:c r="G27" s="9">
        <x:f>IF($A27="","",$A27&amp;"|"&amp;$D27)</x:f>
      </x:c>
      <x:c r="H27" s="14">
        <x:f>IF($G27="","",IFERROR(VLOOKUP($G27,Player_Stats!$A$6:$R$505,18,FALSE),0))</x:f>
      </x:c>
    </x:row>
    <x:row r="28">
      <x:c r="A28" s="10" t="n"/>
      <x:c r="B28" s="10" t="n"/>
      <x:c r="C28" s="10" t="n"/>
      <x:c r="D28" s="11" t="n"/>
      <x:c r="E28" s="10" t="n"/>
      <x:c r="F28" s="10" t="n"/>
      <x:c r="G28" s="9">
        <x:f>IF($A28="","",$A28&amp;"|"&amp;$D28)</x:f>
      </x:c>
      <x:c r="H28" s="14">
        <x:f>IF($G28="","",IFERROR(VLOOKUP($G28,Player_Stats!$A$6:$R$505,18,FALSE),0))</x:f>
      </x:c>
    </x:row>
    <x:row r="29">
      <x:c r="A29" s="10" t="n"/>
      <x:c r="B29" s="10" t="n"/>
      <x:c r="C29" s="10" t="n"/>
      <x:c r="D29" s="11" t="n"/>
      <x:c r="E29" s="10" t="n"/>
      <x:c r="F29" s="10" t="n"/>
      <x:c r="G29" s="9">
        <x:f>IF($A29="","",$A29&amp;"|"&amp;$D29)</x:f>
      </x:c>
      <x:c r="H29" s="14">
        <x:f>IF($G29="","",IFERROR(VLOOKUP($G29,Player_Stats!$A$6:$R$505,18,FALSE),0))</x:f>
      </x:c>
    </x:row>
    <x:row r="30">
      <x:c r="A30" s="10" t="n"/>
      <x:c r="B30" s="10" t="n"/>
      <x:c r="C30" s="10" t="n"/>
      <x:c r="D30" s="11" t="n"/>
      <x:c r="E30" s="10" t="n"/>
      <x:c r="F30" s="10" t="n"/>
      <x:c r="G30" s="9">
        <x:f>IF($A30="","",$A30&amp;"|"&amp;$D30)</x:f>
      </x:c>
      <x:c r="H30" s="14">
        <x:f>IF($G30="","",IFERROR(VLOOKUP($G30,Player_Stats!$A$6:$R$505,18,FALSE),0))</x:f>
      </x:c>
    </x:row>
    <x:row r="31">
      <x:c r="A31" s="10" t="n"/>
      <x:c r="B31" s="10" t="n"/>
      <x:c r="C31" s="10" t="n"/>
      <x:c r="D31" s="11" t="n"/>
      <x:c r="E31" s="10" t="n"/>
      <x:c r="F31" s="10" t="n"/>
      <x:c r="G31" s="9">
        <x:f>IF($A31="","",$A31&amp;"|"&amp;$D31)</x:f>
      </x:c>
      <x:c r="H31" s="14">
        <x:f>IF($G31="","",IFERROR(VLOOKUP($G31,Player_Stats!$A$6:$R$505,18,FALSE),0))</x:f>
      </x:c>
    </x:row>
    <x:row r="32">
      <x:c r="A32" s="10" t="n"/>
      <x:c r="B32" s="10" t="n"/>
      <x:c r="C32" s="10" t="n"/>
      <x:c r="D32" s="11" t="n"/>
      <x:c r="E32" s="10" t="n"/>
      <x:c r="F32" s="10" t="n"/>
      <x:c r="G32" s="9">
        <x:f>IF($A32="","",$A32&amp;"|"&amp;$D32)</x:f>
      </x:c>
      <x:c r="H32" s="14">
        <x:f>IF($G32="","",IFERROR(VLOOKUP($G32,Player_Stats!$A$6:$R$505,18,FALSE),0))</x:f>
      </x:c>
    </x:row>
    <x:row r="33">
      <x:c r="A33" s="10" t="n"/>
      <x:c r="B33" s="10" t="n"/>
      <x:c r="C33" s="10" t="n"/>
      <x:c r="D33" s="11" t="n"/>
      <x:c r="E33" s="10" t="n"/>
      <x:c r="F33" s="10" t="n"/>
      <x:c r="G33" s="9">
        <x:f>IF($A33="","",$A33&amp;"|"&amp;$D33)</x:f>
      </x:c>
      <x:c r="H33" s="14">
        <x:f>IF($G33="","",IFERROR(VLOOKUP($G33,Player_Stats!$A$6:$R$505,18,FALSE),0))</x:f>
      </x:c>
    </x:row>
    <x:row r="34">
      <x:c r="A34" s="10" t="n"/>
      <x:c r="B34" s="10" t="n"/>
      <x:c r="C34" s="10" t="n"/>
      <x:c r="D34" s="11" t="n"/>
      <x:c r="E34" s="10" t="n"/>
      <x:c r="F34" s="10" t="n"/>
      <x:c r="G34" s="9">
        <x:f>IF($A34="","",$A34&amp;"|"&amp;$D34)</x:f>
      </x:c>
      <x:c r="H34" s="14">
        <x:f>IF($G34="","",IFERROR(VLOOKUP($G34,Player_Stats!$A$6:$R$505,18,FALSE),0))</x:f>
      </x:c>
    </x:row>
    <x:row r="35">
      <x:c r="A35" s="10" t="n"/>
      <x:c r="B35" s="10" t="n"/>
      <x:c r="C35" s="10" t="n"/>
      <x:c r="D35" s="11" t="n"/>
      <x:c r="E35" s="10" t="n"/>
      <x:c r="F35" s="10" t="n"/>
      <x:c r="G35" s="9">
        <x:f>IF($A35="","",$A35&amp;"|"&amp;$D35)</x:f>
      </x:c>
      <x:c r="H35" s="14">
        <x:f>IF($G35="","",IFERROR(VLOOKUP($G35,Player_Stats!$A$6:$R$505,18,FALSE),0))</x:f>
      </x:c>
    </x:row>
    <x:row r="36">
      <x:c r="A36" s="10" t="n"/>
      <x:c r="B36" s="10" t="n"/>
      <x:c r="C36" s="10" t="n"/>
      <x:c r="D36" s="11" t="n"/>
      <x:c r="E36" s="10" t="n"/>
      <x:c r="F36" s="10" t="n"/>
      <x:c r="G36" s="9">
        <x:f>IF($A36="","",$A36&amp;"|"&amp;$D36)</x:f>
      </x:c>
      <x:c r="H36" s="14">
        <x:f>IF($G36="","",IFERROR(VLOOKUP($G36,Player_Stats!$A$6:$R$505,18,FALSE),0))</x:f>
      </x:c>
    </x:row>
    <x:row r="37">
      <x:c r="A37" s="10" t="n"/>
      <x:c r="B37" s="10" t="n"/>
      <x:c r="C37" s="10" t="n"/>
      <x:c r="D37" s="11" t="n"/>
      <x:c r="E37" s="10" t="n"/>
      <x:c r="F37" s="10" t="n"/>
      <x:c r="G37" s="9">
        <x:f>IF($A37="","",$A37&amp;"|"&amp;$D37)</x:f>
      </x:c>
      <x:c r="H37" s="14">
        <x:f>IF($G37="","",IFERROR(VLOOKUP($G37,Player_Stats!$A$6:$R$505,18,FALSE),0))</x:f>
      </x:c>
    </x:row>
    <x:row r="38">
      <x:c r="A38" s="10" t="n"/>
      <x:c r="B38" s="10" t="n"/>
      <x:c r="C38" s="10" t="n"/>
      <x:c r="D38" s="11" t="n"/>
      <x:c r="E38" s="10" t="n"/>
      <x:c r="F38" s="10" t="n"/>
      <x:c r="G38" s="9">
        <x:f>IF($A38="","",$A38&amp;"|"&amp;$D38)</x:f>
      </x:c>
      <x:c r="H38" s="14">
        <x:f>IF($G38="","",IFERROR(VLOOKUP($G38,Player_Stats!$A$6:$R$505,18,FALSE),0))</x:f>
      </x:c>
    </x:row>
    <x:row r="39">
      <x:c r="A39" s="10" t="n"/>
      <x:c r="B39" s="10" t="n"/>
      <x:c r="C39" s="10" t="n"/>
      <x:c r="D39" s="11" t="n"/>
      <x:c r="E39" s="10" t="n"/>
      <x:c r="F39" s="10" t="n"/>
      <x:c r="G39" s="9">
        <x:f>IF($A39="","",$A39&amp;"|"&amp;$D39)</x:f>
      </x:c>
      <x:c r="H39" s="14">
        <x:f>IF($G39="","",IFERROR(VLOOKUP($G39,Player_Stats!$A$6:$R$505,18,FALSE),0))</x:f>
      </x:c>
    </x:row>
    <x:row r="40">
      <x:c r="A40" s="10" t="n"/>
      <x:c r="B40" s="10" t="n"/>
      <x:c r="C40" s="10" t="n"/>
      <x:c r="D40" s="11" t="n"/>
      <x:c r="E40" s="10" t="n"/>
      <x:c r="F40" s="10" t="n"/>
      <x:c r="G40" s="9">
        <x:f>IF($A40="","",$A40&amp;"|"&amp;$D40)</x:f>
      </x:c>
      <x:c r="H40" s="14">
        <x:f>IF($G40="","",IFERROR(VLOOKUP($G40,Player_Stats!$A$6:$R$505,18,FALSE),0))</x:f>
      </x:c>
    </x:row>
    <x:row r="41">
      <x:c r="A41" s="10" t="n"/>
      <x:c r="B41" s="10" t="n"/>
      <x:c r="C41" s="10" t="n"/>
      <x:c r="D41" s="11" t="n"/>
      <x:c r="E41" s="10" t="n"/>
      <x:c r="F41" s="10" t="n"/>
      <x:c r="G41" s="9">
        <x:f>IF($A41="","",$A41&amp;"|"&amp;$D41)</x:f>
      </x:c>
      <x:c r="H41" s="14">
        <x:f>IF($G41="","",IFERROR(VLOOKUP($G41,Player_Stats!$A$6:$R$505,18,FALSE),0))</x:f>
      </x:c>
    </x:row>
    <x:row r="42">
      <x:c r="A42" s="10" t="n"/>
      <x:c r="B42" s="10" t="n"/>
      <x:c r="C42" s="10" t="n"/>
      <x:c r="D42" s="11" t="n"/>
      <x:c r="E42" s="10" t="n"/>
      <x:c r="F42" s="10" t="n"/>
      <x:c r="G42" s="9">
        <x:f>IF($A42="","",$A42&amp;"|"&amp;$D42)</x:f>
      </x:c>
      <x:c r="H42" s="14">
        <x:f>IF($G42="","",IFERROR(VLOOKUP($G42,Player_Stats!$A$6:$R$505,18,FALSE),0))</x:f>
      </x:c>
    </x:row>
    <x:row r="43">
      <x:c r="A43" s="10" t="n"/>
      <x:c r="B43" s="10" t="n"/>
      <x:c r="C43" s="10" t="n"/>
      <x:c r="D43" s="11" t="n"/>
      <x:c r="E43" s="10" t="n"/>
      <x:c r="F43" s="10" t="n"/>
      <x:c r="G43" s="9">
        <x:f>IF($A43="","",$A43&amp;"|"&amp;$D43)</x:f>
      </x:c>
      <x:c r="H43" s="14">
        <x:f>IF($G43="","",IFERROR(VLOOKUP($G43,Player_Stats!$A$6:$R$505,18,FALSE),0))</x:f>
      </x:c>
    </x:row>
    <x:row r="44">
      <x:c r="A44" s="10" t="n"/>
      <x:c r="B44" s="10" t="n"/>
      <x:c r="C44" s="10" t="n"/>
      <x:c r="D44" s="11" t="n"/>
      <x:c r="E44" s="10" t="n"/>
      <x:c r="F44" s="10" t="n"/>
      <x:c r="G44" s="9">
        <x:f>IF($A44="","",$A44&amp;"|"&amp;$D44)</x:f>
      </x:c>
      <x:c r="H44" s="14">
        <x:f>IF($G44="","",IFERROR(VLOOKUP($G44,Player_Stats!$A$6:$R$505,18,FALSE),0))</x:f>
      </x:c>
    </x:row>
    <x:row r="45">
      <x:c r="A45" s="10" t="n"/>
      <x:c r="B45" s="10" t="n"/>
      <x:c r="C45" s="10" t="n"/>
      <x:c r="D45" s="11" t="n"/>
      <x:c r="E45" s="10" t="n"/>
      <x:c r="F45" s="10" t="n"/>
      <x:c r="G45" s="9">
        <x:f>IF($A45="","",$A45&amp;"|"&amp;$D45)</x:f>
      </x:c>
      <x:c r="H45" s="14">
        <x:f>IF($G45="","",IFERROR(VLOOKUP($G45,Player_Stats!$A$6:$R$505,18,FALSE),0))</x:f>
      </x:c>
    </x:row>
    <x:row r="46">
      <x:c r="A46" s="10" t="n"/>
      <x:c r="B46" s="10" t="n"/>
      <x:c r="C46" s="10" t="n"/>
      <x:c r="D46" s="11" t="n"/>
      <x:c r="E46" s="10" t="n"/>
      <x:c r="F46" s="10" t="n"/>
      <x:c r="G46" s="9">
        <x:f>IF($A46="","",$A46&amp;"|"&amp;$D46)</x:f>
      </x:c>
      <x:c r="H46" s="14">
        <x:f>IF($G46="","",IFERROR(VLOOKUP($G46,Player_Stats!$A$6:$R$505,18,FALSE),0))</x:f>
      </x:c>
    </x:row>
    <x:row r="47">
      <x:c r="A47" s="10" t="n"/>
      <x:c r="B47" s="10" t="n"/>
      <x:c r="C47" s="10" t="n"/>
      <x:c r="D47" s="11" t="n"/>
      <x:c r="E47" s="10" t="n"/>
      <x:c r="F47" s="10" t="n"/>
      <x:c r="G47" s="9">
        <x:f>IF($A47="","",$A47&amp;"|"&amp;$D47)</x:f>
      </x:c>
      <x:c r="H47" s="14">
        <x:f>IF($G47="","",IFERROR(VLOOKUP($G47,Player_Stats!$A$6:$R$505,18,FALSE),0))</x:f>
      </x:c>
    </x:row>
    <x:row r="48">
      <x:c r="A48" s="10" t="n"/>
      <x:c r="B48" s="10" t="n"/>
      <x:c r="C48" s="10" t="n"/>
      <x:c r="D48" s="11" t="n"/>
      <x:c r="E48" s="10" t="n"/>
      <x:c r="F48" s="10" t="n"/>
      <x:c r="G48" s="9">
        <x:f>IF($A48="","",$A48&amp;"|"&amp;$D48)</x:f>
      </x:c>
      <x:c r="H48" s="14">
        <x:f>IF($G48="","",IFERROR(VLOOKUP($G48,Player_Stats!$A$6:$R$505,18,FALSE),0))</x:f>
      </x:c>
    </x:row>
    <x:row r="49">
      <x:c r="A49" s="10" t="n"/>
      <x:c r="B49" s="10" t="n"/>
      <x:c r="C49" s="10" t="n"/>
      <x:c r="D49" s="11" t="n"/>
      <x:c r="E49" s="10" t="n"/>
      <x:c r="F49" s="10" t="n"/>
      <x:c r="G49" s="9">
        <x:f>IF($A49="","",$A49&amp;"|"&amp;$D49)</x:f>
      </x:c>
      <x:c r="H49" s="14">
        <x:f>IF($G49="","",IFERROR(VLOOKUP($G49,Player_Stats!$A$6:$R$505,18,FALSE),0))</x:f>
      </x:c>
    </x:row>
    <x:row r="50">
      <x:c r="A50" s="10" t="n"/>
      <x:c r="B50" s="10" t="n"/>
      <x:c r="C50" s="10" t="n"/>
      <x:c r="D50" s="11" t="n"/>
      <x:c r="E50" s="10" t="n"/>
      <x:c r="F50" s="10" t="n"/>
      <x:c r="G50" s="9">
        <x:f>IF($A50="","",$A50&amp;"|"&amp;$D50)</x:f>
      </x:c>
      <x:c r="H50" s="14">
        <x:f>IF($G50="","",IFERROR(VLOOKUP($G50,Player_Stats!$A$6:$R$505,18,FALSE),0))</x:f>
      </x:c>
    </x:row>
    <x:row r="51">
      <x:c r="A51" s="10" t="n"/>
      <x:c r="B51" s="10" t="n"/>
      <x:c r="C51" s="10" t="n"/>
      <x:c r="D51" s="11" t="n"/>
      <x:c r="E51" s="10" t="n"/>
      <x:c r="F51" s="10" t="n"/>
      <x:c r="G51" s="9">
        <x:f>IF($A51="","",$A51&amp;"|"&amp;$D51)</x:f>
      </x:c>
      <x:c r="H51" s="14">
        <x:f>IF($G51="","",IFERROR(VLOOKUP($G51,Player_Stats!$A$6:$R$505,18,FALSE),0))</x:f>
      </x:c>
    </x:row>
    <x:row r="52">
      <x:c r="A52" s="10" t="n"/>
      <x:c r="B52" s="10" t="n"/>
      <x:c r="C52" s="10" t="n"/>
      <x:c r="D52" s="11" t="n"/>
      <x:c r="E52" s="10" t="n"/>
      <x:c r="F52" s="10" t="n"/>
      <x:c r="G52" s="9">
        <x:f>IF($A52="","",$A52&amp;"|"&amp;$D52)</x:f>
      </x:c>
      <x:c r="H52" s="14">
        <x:f>IF($G52="","",IFERROR(VLOOKUP($G52,Player_Stats!$A$6:$R$505,18,FALSE),0))</x:f>
      </x:c>
    </x:row>
    <x:row r="53">
      <x:c r="A53" s="10" t="n"/>
      <x:c r="B53" s="10" t="n"/>
      <x:c r="C53" s="10" t="n"/>
      <x:c r="D53" s="11" t="n"/>
      <x:c r="E53" s="10" t="n"/>
      <x:c r="F53" s="10" t="n"/>
      <x:c r="G53" s="9">
        <x:f>IF($A53="","",$A53&amp;"|"&amp;$D53)</x:f>
      </x:c>
      <x:c r="H53" s="14">
        <x:f>IF($G53="","",IFERROR(VLOOKUP($G53,Player_Stats!$A$6:$R$505,18,FALSE),0))</x:f>
      </x:c>
    </x:row>
    <x:row r="54">
      <x:c r="A54" s="10" t="n"/>
      <x:c r="B54" s="10" t="n"/>
      <x:c r="C54" s="10" t="n"/>
      <x:c r="D54" s="11" t="n"/>
      <x:c r="E54" s="10" t="n"/>
      <x:c r="F54" s="10" t="n"/>
      <x:c r="G54" s="9">
        <x:f>IF($A54="","",$A54&amp;"|"&amp;$D54)</x:f>
      </x:c>
      <x:c r="H54" s="14">
        <x:f>IF($G54="","",IFERROR(VLOOKUP($G54,Player_Stats!$A$6:$R$505,18,FALSE),0))</x:f>
      </x:c>
    </x:row>
    <x:row r="55">
      <x:c r="A55" s="10" t="n"/>
      <x:c r="B55" s="10" t="n"/>
      <x:c r="C55" s="10" t="n"/>
      <x:c r="D55" s="11" t="n"/>
      <x:c r="E55" s="10" t="n"/>
      <x:c r="F55" s="10" t="n"/>
      <x:c r="G55" s="9">
        <x:f>IF($A55="","",$A55&amp;"|"&amp;$D55)</x:f>
      </x:c>
      <x:c r="H55" s="14">
        <x:f>IF($G55="","",IFERROR(VLOOKUP($G55,Player_Stats!$A$6:$R$505,18,FALSE),0))</x:f>
      </x:c>
    </x:row>
    <x:row r="56">
      <x:c r="A56" s="10" t="n"/>
      <x:c r="B56" s="10" t="n"/>
      <x:c r="C56" s="10" t="n"/>
      <x:c r="D56" s="11" t="n"/>
      <x:c r="E56" s="10" t="n"/>
      <x:c r="F56" s="10" t="n"/>
      <x:c r="G56" s="9">
        <x:f>IF($A56="","",$A56&amp;"|"&amp;$D56)</x:f>
      </x:c>
      <x:c r="H56" s="14">
        <x:f>IF($G56="","",IFERROR(VLOOKUP($G56,Player_Stats!$A$6:$R$505,18,FALSE),0))</x:f>
      </x:c>
    </x:row>
    <x:row r="57">
      <x:c r="A57" s="10" t="n"/>
      <x:c r="B57" s="10" t="n"/>
      <x:c r="C57" s="10" t="n"/>
      <x:c r="D57" s="11" t="n"/>
      <x:c r="E57" s="10" t="n"/>
      <x:c r="F57" s="10" t="n"/>
      <x:c r="G57" s="9">
        <x:f>IF($A57="","",$A57&amp;"|"&amp;$D57)</x:f>
      </x:c>
      <x:c r="H57" s="14">
        <x:f>IF($G57="","",IFERROR(VLOOKUP($G57,Player_Stats!$A$6:$R$505,18,FALSE),0))</x:f>
      </x:c>
    </x:row>
    <x:row r="58">
      <x:c r="A58" s="10" t="n"/>
      <x:c r="B58" s="10" t="n"/>
      <x:c r="C58" s="10" t="n"/>
      <x:c r="D58" s="11" t="n"/>
      <x:c r="E58" s="10" t="n"/>
      <x:c r="F58" s="10" t="n"/>
      <x:c r="G58" s="9">
        <x:f>IF($A58="","",$A58&amp;"|"&amp;$D58)</x:f>
      </x:c>
      <x:c r="H58" s="14">
        <x:f>IF($G58="","",IFERROR(VLOOKUP($G58,Player_Stats!$A$6:$R$505,18,FALSE),0))</x:f>
      </x:c>
    </x:row>
    <x:row r="59">
      <x:c r="A59" s="10" t="n"/>
      <x:c r="B59" s="10" t="n"/>
      <x:c r="C59" s="10" t="n"/>
      <x:c r="D59" s="11" t="n"/>
      <x:c r="E59" s="10" t="n"/>
      <x:c r="F59" s="10" t="n"/>
      <x:c r="G59" s="9">
        <x:f>IF($A59="","",$A59&amp;"|"&amp;$D59)</x:f>
      </x:c>
      <x:c r="H59" s="14">
        <x:f>IF($G59="","",IFERROR(VLOOKUP($G59,Player_Stats!$A$6:$R$505,18,FALSE),0))</x:f>
      </x:c>
    </x:row>
    <x:row r="60">
      <x:c r="A60" s="10" t="n"/>
      <x:c r="B60" s="10" t="n"/>
      <x:c r="C60" s="10" t="n"/>
      <x:c r="D60" s="11" t="n"/>
      <x:c r="E60" s="10" t="n"/>
      <x:c r="F60" s="10" t="n"/>
      <x:c r="G60" s="9">
        <x:f>IF($A60="","",$A60&amp;"|"&amp;$D60)</x:f>
      </x:c>
      <x:c r="H60" s="14">
        <x:f>IF($G60="","",IFERROR(VLOOKUP($G60,Player_Stats!$A$6:$R$505,18,FALSE),0))</x:f>
      </x:c>
    </x:row>
    <x:row r="61">
      <x:c r="A61" s="10" t="n"/>
      <x:c r="B61" s="10" t="n"/>
      <x:c r="C61" s="10" t="n"/>
      <x:c r="D61" s="11" t="n"/>
      <x:c r="E61" s="10" t="n"/>
      <x:c r="F61" s="10" t="n"/>
      <x:c r="G61" s="9">
        <x:f>IF($A61="","",$A61&amp;"|"&amp;$D61)</x:f>
      </x:c>
      <x:c r="H61" s="14">
        <x:f>IF($G61="","",IFERROR(VLOOKUP($G61,Player_Stats!$A$6:$R$505,18,FALSE),0))</x:f>
      </x:c>
    </x:row>
    <x:row r="62">
      <x:c r="A62" s="10" t="n"/>
      <x:c r="B62" s="10" t="n"/>
      <x:c r="C62" s="10" t="n"/>
      <x:c r="D62" s="11" t="n"/>
      <x:c r="E62" s="10" t="n"/>
      <x:c r="F62" s="10" t="n"/>
      <x:c r="G62" s="9">
        <x:f>IF($A62="","",$A62&amp;"|"&amp;$D62)</x:f>
      </x:c>
      <x:c r="H62" s="14">
        <x:f>IF($G62="","",IFERROR(VLOOKUP($G62,Player_Stats!$A$6:$R$505,18,FALSE),0))</x:f>
      </x:c>
    </x:row>
    <x:row r="63">
      <x:c r="A63" s="10" t="n"/>
      <x:c r="B63" s="10" t="n"/>
      <x:c r="C63" s="10" t="n"/>
      <x:c r="D63" s="11" t="n"/>
      <x:c r="E63" s="10" t="n"/>
      <x:c r="F63" s="10" t="n"/>
      <x:c r="G63" s="9">
        <x:f>IF($A63="","",$A63&amp;"|"&amp;$D63)</x:f>
      </x:c>
      <x:c r="H63" s="14">
        <x:f>IF($G63="","",IFERROR(VLOOKUP($G63,Player_Stats!$A$6:$R$505,18,FALSE),0))</x:f>
      </x:c>
    </x:row>
    <x:row r="64">
      <x:c r="A64" s="10" t="n"/>
      <x:c r="B64" s="10" t="n"/>
      <x:c r="C64" s="10" t="n"/>
      <x:c r="D64" s="11" t="n"/>
      <x:c r="E64" s="10" t="n"/>
      <x:c r="F64" s="10" t="n"/>
      <x:c r="G64" s="9">
        <x:f>IF($A64="","",$A64&amp;"|"&amp;$D64)</x:f>
      </x:c>
      <x:c r="H64" s="14">
        <x:f>IF($G64="","",IFERROR(VLOOKUP($G64,Player_Stats!$A$6:$R$505,18,FALSE),0))</x:f>
      </x:c>
    </x:row>
    <x:row r="65">
      <x:c r="A65" s="10" t="n"/>
      <x:c r="B65" s="10" t="n"/>
      <x:c r="C65" s="10" t="n"/>
      <x:c r="D65" s="11" t="n"/>
      <x:c r="E65" s="10" t="n"/>
      <x:c r="F65" s="10" t="n"/>
      <x:c r="G65" s="9">
        <x:f>IF($A65="","",$A65&amp;"|"&amp;$D65)</x:f>
      </x:c>
      <x:c r="H65" s="14">
        <x:f>IF($G65="","",IFERROR(VLOOKUP($G65,Player_Stats!$A$6:$R$505,18,FALSE),0))</x:f>
      </x:c>
    </x:row>
    <x:row r="66">
      <x:c r="A66" s="10" t="n"/>
      <x:c r="B66" s="10" t="n"/>
      <x:c r="C66" s="10" t="n"/>
      <x:c r="D66" s="11" t="n"/>
      <x:c r="E66" s="10" t="n"/>
      <x:c r="F66" s="10" t="n"/>
      <x:c r="G66" s="9">
        <x:f>IF($A66="","",$A66&amp;"|"&amp;$D66)</x:f>
      </x:c>
      <x:c r="H66" s="14">
        <x:f>IF($G66="","",IFERROR(VLOOKUP($G66,Player_Stats!$A$6:$R$505,18,FALSE),0))</x:f>
      </x:c>
    </x:row>
    <x:row r="67">
      <x:c r="A67" s="10" t="n"/>
      <x:c r="B67" s="10" t="n"/>
      <x:c r="C67" s="10" t="n"/>
      <x:c r="D67" s="11" t="n"/>
      <x:c r="E67" s="10" t="n"/>
      <x:c r="F67" s="10" t="n"/>
      <x:c r="G67" s="9">
        <x:f>IF($A67="","",$A67&amp;"|"&amp;$D67)</x:f>
      </x:c>
      <x:c r="H67" s="14">
        <x:f>IF($G67="","",IFERROR(VLOOKUP($G67,Player_Stats!$A$6:$R$505,18,FALSE),0))</x:f>
      </x:c>
    </x:row>
    <x:row r="68">
      <x:c r="A68" s="10" t="n"/>
      <x:c r="B68" s="10" t="n"/>
      <x:c r="C68" s="10" t="n"/>
      <x:c r="D68" s="11" t="n"/>
      <x:c r="E68" s="10" t="n"/>
      <x:c r="F68" s="10" t="n"/>
      <x:c r="G68" s="9">
        <x:f>IF($A68="","",$A68&amp;"|"&amp;$D68)</x:f>
      </x:c>
      <x:c r="H68" s="14">
        <x:f>IF($G68="","",IFERROR(VLOOKUP($G68,Player_Stats!$A$6:$R$505,18,FALSE),0))</x:f>
      </x:c>
    </x:row>
    <x:row r="69">
      <x:c r="A69" s="10" t="n"/>
      <x:c r="B69" s="10" t="n"/>
      <x:c r="C69" s="10" t="n"/>
      <x:c r="D69" s="11" t="n"/>
      <x:c r="E69" s="10" t="n"/>
      <x:c r="F69" s="10" t="n"/>
      <x:c r="G69" s="9">
        <x:f>IF($A69="","",$A69&amp;"|"&amp;$D69)</x:f>
      </x:c>
      <x:c r="H69" s="14">
        <x:f>IF($G69="","",IFERROR(VLOOKUP($G69,Player_Stats!$A$6:$R$505,18,FALSE),0))</x:f>
      </x:c>
    </x:row>
    <x:row r="70">
      <x:c r="A70" s="10" t="n"/>
      <x:c r="B70" s="10" t="n"/>
      <x:c r="C70" s="10" t="n"/>
      <x:c r="D70" s="11" t="n"/>
      <x:c r="E70" s="10" t="n"/>
      <x:c r="F70" s="10" t="n"/>
      <x:c r="G70" s="9">
        <x:f>IF($A70="","",$A70&amp;"|"&amp;$D70)</x:f>
      </x:c>
      <x:c r="H70" s="14">
        <x:f>IF($G70="","",IFERROR(VLOOKUP($G70,Player_Stats!$A$6:$R$505,18,FALSE),0))</x:f>
      </x:c>
    </x:row>
    <x:row r="71">
      <x:c r="A71" s="10" t="n"/>
      <x:c r="B71" s="10" t="n"/>
      <x:c r="C71" s="10" t="n"/>
      <x:c r="D71" s="11" t="n"/>
      <x:c r="E71" s="10" t="n"/>
      <x:c r="F71" s="10" t="n"/>
      <x:c r="G71" s="9">
        <x:f>IF($A71="","",$A71&amp;"|"&amp;$D71)</x:f>
      </x:c>
      <x:c r="H71" s="14">
        <x:f>IF($G71="","",IFERROR(VLOOKUP($G71,Player_Stats!$A$6:$R$505,18,FALSE),0))</x:f>
      </x:c>
    </x:row>
    <x:row r="72">
      <x:c r="A72" s="10" t="n"/>
      <x:c r="B72" s="10" t="n"/>
      <x:c r="C72" s="10" t="n"/>
      <x:c r="D72" s="11" t="n"/>
      <x:c r="E72" s="10" t="n"/>
      <x:c r="F72" s="10" t="n"/>
      <x:c r="G72" s="9">
        <x:f>IF($A72="","",$A72&amp;"|"&amp;$D72)</x:f>
      </x:c>
      <x:c r="H72" s="14">
        <x:f>IF($G72="","",IFERROR(VLOOKUP($G72,Player_Stats!$A$6:$R$505,18,FALSE),0))</x:f>
      </x:c>
    </x:row>
    <x:row r="73">
      <x:c r="A73" s="10" t="n"/>
      <x:c r="B73" s="10" t="n"/>
      <x:c r="C73" s="10" t="n"/>
      <x:c r="D73" s="11" t="n"/>
      <x:c r="E73" s="10" t="n"/>
      <x:c r="F73" s="10" t="n"/>
      <x:c r="G73" s="9">
        <x:f>IF($A73="","",$A73&amp;"|"&amp;$D73)</x:f>
      </x:c>
      <x:c r="H73" s="14">
        <x:f>IF($G73="","",IFERROR(VLOOKUP($G73,Player_Stats!$A$6:$R$505,18,FALSE),0))</x:f>
      </x:c>
    </x:row>
    <x:row r="74">
      <x:c r="A74" s="10" t="n"/>
      <x:c r="B74" s="10" t="n"/>
      <x:c r="C74" s="10" t="n"/>
      <x:c r="D74" s="11" t="n"/>
      <x:c r="E74" s="10" t="n"/>
      <x:c r="F74" s="10" t="n"/>
      <x:c r="G74" s="9">
        <x:f>IF($A74="","",$A74&amp;"|"&amp;$D74)</x:f>
      </x:c>
      <x:c r="H74" s="14">
        <x:f>IF($G74="","",IFERROR(VLOOKUP($G74,Player_Stats!$A$6:$R$505,18,FALSE),0))</x:f>
      </x:c>
    </x:row>
    <x:row r="75">
      <x:c r="A75" s="10" t="n"/>
      <x:c r="B75" s="10" t="n"/>
      <x:c r="C75" s="10" t="n"/>
      <x:c r="D75" s="11" t="n"/>
      <x:c r="E75" s="10" t="n"/>
      <x:c r="F75" s="10" t="n"/>
      <x:c r="G75" s="9">
        <x:f>IF($A75="","",$A75&amp;"|"&amp;$D75)</x:f>
      </x:c>
      <x:c r="H75" s="14">
        <x:f>IF($G75="","",IFERROR(VLOOKUP($G75,Player_Stats!$A$6:$R$505,18,FALSE),0))</x:f>
      </x:c>
    </x:row>
    <x:row r="76">
      <x:c r="A76" s="10" t="n"/>
      <x:c r="B76" s="10" t="n"/>
      <x:c r="C76" s="10" t="n"/>
      <x:c r="D76" s="11" t="n"/>
      <x:c r="E76" s="10" t="n"/>
      <x:c r="F76" s="10" t="n"/>
      <x:c r="G76" s="9">
        <x:f>IF($A76="","",$A76&amp;"|"&amp;$D76)</x:f>
      </x:c>
      <x:c r="H76" s="14">
        <x:f>IF($G76="","",IFERROR(VLOOKUP($G76,Player_Stats!$A$6:$R$505,18,FALSE),0))</x:f>
      </x:c>
    </x:row>
    <x:row r="77">
      <x:c r="A77" s="10" t="n"/>
      <x:c r="B77" s="10" t="n"/>
      <x:c r="C77" s="10" t="n"/>
      <x:c r="D77" s="11" t="n"/>
      <x:c r="E77" s="10" t="n"/>
      <x:c r="F77" s="10" t="n"/>
      <x:c r="G77" s="9">
        <x:f>IF($A77="","",$A77&amp;"|"&amp;$D77)</x:f>
      </x:c>
      <x:c r="H77" s="14">
        <x:f>IF($G77="","",IFERROR(VLOOKUP($G77,Player_Stats!$A$6:$R$505,18,FALSE),0))</x:f>
      </x:c>
    </x:row>
    <x:row r="78">
      <x:c r="A78" s="10" t="n"/>
      <x:c r="B78" s="10" t="n"/>
      <x:c r="C78" s="10" t="n"/>
      <x:c r="D78" s="11" t="n"/>
      <x:c r="E78" s="10" t="n"/>
      <x:c r="F78" s="10" t="n"/>
      <x:c r="G78" s="9">
        <x:f>IF($A78="","",$A78&amp;"|"&amp;$D78)</x:f>
      </x:c>
      <x:c r="H78" s="14">
        <x:f>IF($G78="","",IFERROR(VLOOKUP($G78,Player_Stats!$A$6:$R$505,18,FALSE),0))</x:f>
      </x:c>
    </x:row>
    <x:row r="79">
      <x:c r="A79" s="10" t="n"/>
      <x:c r="B79" s="10" t="n"/>
      <x:c r="C79" s="10" t="n"/>
      <x:c r="D79" s="11" t="n"/>
      <x:c r="E79" s="10" t="n"/>
      <x:c r="F79" s="10" t="n"/>
      <x:c r="G79" s="9">
        <x:f>IF($A79="","",$A79&amp;"|"&amp;$D79)</x:f>
      </x:c>
      <x:c r="H79" s="14">
        <x:f>IF($G79="","",IFERROR(VLOOKUP($G79,Player_Stats!$A$6:$R$505,18,FALSE),0))</x:f>
      </x:c>
    </x:row>
    <x:row r="80">
      <x:c r="A80" s="10" t="n"/>
      <x:c r="B80" s="10" t="n"/>
      <x:c r="C80" s="10" t="n"/>
      <x:c r="D80" s="11" t="n"/>
      <x:c r="E80" s="10" t="n"/>
      <x:c r="F80" s="10" t="n"/>
      <x:c r="G80" s="9">
        <x:f>IF($A80="","",$A80&amp;"|"&amp;$D80)</x:f>
      </x:c>
      <x:c r="H80" s="14">
        <x:f>IF($G80="","",IFERROR(VLOOKUP($G80,Player_Stats!$A$6:$R$505,18,FALSE),0))</x:f>
      </x:c>
    </x:row>
    <x:row r="81">
      <x:c r="A81" s="10" t="n"/>
      <x:c r="B81" s="10" t="n"/>
      <x:c r="C81" s="10" t="n"/>
      <x:c r="D81" s="11" t="n"/>
      <x:c r="E81" s="10" t="n"/>
      <x:c r="F81" s="10" t="n"/>
      <x:c r="G81" s="9">
        <x:f>IF($A81="","",$A81&amp;"|"&amp;$D81)</x:f>
      </x:c>
      <x:c r="H81" s="14">
        <x:f>IF($G81="","",IFERROR(VLOOKUP($G81,Player_Stats!$A$6:$R$505,18,FALSE),0))</x:f>
      </x:c>
    </x:row>
    <x:row r="82">
      <x:c r="A82" s="10" t="n"/>
      <x:c r="B82" s="10" t="n"/>
      <x:c r="C82" s="10" t="n"/>
      <x:c r="D82" s="11" t="n"/>
      <x:c r="E82" s="10" t="n"/>
      <x:c r="F82" s="10" t="n"/>
      <x:c r="G82" s="9">
        <x:f>IF($A82="","",$A82&amp;"|"&amp;$D82)</x:f>
      </x:c>
      <x:c r="H82" s="14">
        <x:f>IF($G82="","",IFERROR(VLOOKUP($G82,Player_Stats!$A$6:$R$505,18,FALSE),0))</x:f>
      </x:c>
    </x:row>
    <x:row r="83">
      <x:c r="A83" s="10" t="n"/>
      <x:c r="B83" s="10" t="n"/>
      <x:c r="C83" s="10" t="n"/>
      <x:c r="D83" s="11" t="n"/>
      <x:c r="E83" s="10" t="n"/>
      <x:c r="F83" s="10" t="n"/>
      <x:c r="G83" s="9">
        <x:f>IF($A83="","",$A83&amp;"|"&amp;$D83)</x:f>
      </x:c>
      <x:c r="H83" s="14">
        <x:f>IF($G83="","",IFERROR(VLOOKUP($G83,Player_Stats!$A$6:$R$505,18,FALSE),0))</x:f>
      </x:c>
    </x:row>
    <x:row r="84">
      <x:c r="A84" s="10" t="n"/>
      <x:c r="B84" s="10" t="n"/>
      <x:c r="C84" s="10" t="n"/>
      <x:c r="D84" s="11" t="n"/>
      <x:c r="E84" s="10" t="n"/>
      <x:c r="F84" s="10" t="n"/>
      <x:c r="G84" s="9">
        <x:f>IF($A84="","",$A84&amp;"|"&amp;$D84)</x:f>
      </x:c>
      <x:c r="H84" s="14">
        <x:f>IF($G84="","",IFERROR(VLOOKUP($G84,Player_Stats!$A$6:$R$505,18,FALSE),0))</x:f>
      </x:c>
    </x:row>
    <x:row r="85">
      <x:c r="A85" s="10" t="n"/>
      <x:c r="B85" s="10" t="n"/>
      <x:c r="C85" s="10" t="n"/>
      <x:c r="D85" s="11" t="n"/>
      <x:c r="E85" s="10" t="n"/>
      <x:c r="F85" s="10" t="n"/>
      <x:c r="G85" s="9">
        <x:f>IF($A85="","",$A85&amp;"|"&amp;$D85)</x:f>
      </x:c>
      <x:c r="H85" s="14">
        <x:f>IF($G85="","",IFERROR(VLOOKUP($G85,Player_Stats!$A$6:$R$505,18,FALSE),0))</x:f>
      </x:c>
    </x:row>
    <x:row r="86">
      <x:c r="A86" s="10" t="n"/>
      <x:c r="B86" s="10" t="n"/>
      <x:c r="C86" s="10" t="n"/>
      <x:c r="D86" s="11" t="n"/>
      <x:c r="E86" s="10" t="n"/>
      <x:c r="F86" s="10" t="n"/>
      <x:c r="G86" s="9">
        <x:f>IF($A86="","",$A86&amp;"|"&amp;$D86)</x:f>
      </x:c>
      <x:c r="H86" s="14">
        <x:f>IF($G86="","",IFERROR(VLOOKUP($G86,Player_Stats!$A$6:$R$505,18,FALSE),0))</x:f>
      </x:c>
    </x:row>
    <x:row r="87">
      <x:c r="A87" s="10" t="n"/>
      <x:c r="B87" s="10" t="n"/>
      <x:c r="C87" s="10" t="n"/>
      <x:c r="D87" s="11" t="n"/>
      <x:c r="E87" s="10" t="n"/>
      <x:c r="F87" s="10" t="n"/>
      <x:c r="G87" s="9">
        <x:f>IF($A87="","",$A87&amp;"|"&amp;$D87)</x:f>
      </x:c>
      <x:c r="H87" s="14">
        <x:f>IF($G87="","",IFERROR(VLOOKUP($G87,Player_Stats!$A$6:$R$505,18,FALSE),0))</x:f>
      </x:c>
    </x:row>
    <x:row r="88">
      <x:c r="A88" s="10" t="n"/>
      <x:c r="B88" s="10" t="n"/>
      <x:c r="C88" s="10" t="n"/>
      <x:c r="D88" s="11" t="n"/>
      <x:c r="E88" s="10" t="n"/>
      <x:c r="F88" s="10" t="n"/>
      <x:c r="G88" s="9">
        <x:f>IF($A88="","",$A88&amp;"|"&amp;$D88)</x:f>
      </x:c>
      <x:c r="H88" s="14">
        <x:f>IF($G88="","",IFERROR(VLOOKUP($G88,Player_Stats!$A$6:$R$505,18,FALSE),0))</x:f>
      </x:c>
    </x:row>
    <x:row r="89">
      <x:c r="A89" s="10" t="n"/>
      <x:c r="B89" s="10" t="n"/>
      <x:c r="C89" s="10" t="n"/>
      <x:c r="D89" s="11" t="n"/>
      <x:c r="E89" s="10" t="n"/>
      <x:c r="F89" s="10" t="n"/>
      <x:c r="G89" s="9">
        <x:f>IF($A89="","",$A89&amp;"|"&amp;$D89)</x:f>
      </x:c>
      <x:c r="H89" s="14">
        <x:f>IF($G89="","",IFERROR(VLOOKUP($G89,Player_Stats!$A$6:$R$505,18,FALSE),0))</x:f>
      </x:c>
    </x:row>
    <x:row r="90">
      <x:c r="A90" s="10" t="n"/>
      <x:c r="B90" s="10" t="n"/>
      <x:c r="C90" s="10" t="n"/>
      <x:c r="D90" s="11" t="n"/>
      <x:c r="E90" s="10" t="n"/>
      <x:c r="F90" s="10" t="n"/>
      <x:c r="G90" s="9">
        <x:f>IF($A90="","",$A90&amp;"|"&amp;$D90)</x:f>
      </x:c>
      <x:c r="H90" s="14">
        <x:f>IF($G90="","",IFERROR(VLOOKUP($G90,Player_Stats!$A$6:$R$505,18,FALSE),0))</x:f>
      </x:c>
    </x:row>
    <x:row r="91">
      <x:c r="A91" s="10" t="n"/>
      <x:c r="B91" s="10" t="n"/>
      <x:c r="C91" s="10" t="n"/>
      <x:c r="D91" s="11" t="n"/>
      <x:c r="E91" s="10" t="n"/>
      <x:c r="F91" s="10" t="n"/>
      <x:c r="G91" s="9">
        <x:f>IF($A91="","",$A91&amp;"|"&amp;$D91)</x:f>
      </x:c>
      <x:c r="H91" s="14">
        <x:f>IF($G91="","",IFERROR(VLOOKUP($G91,Player_Stats!$A$6:$R$505,18,FALSE),0))</x:f>
      </x:c>
    </x:row>
    <x:row r="92">
      <x:c r="A92" s="10" t="n"/>
      <x:c r="B92" s="10" t="n"/>
      <x:c r="C92" s="10" t="n"/>
      <x:c r="D92" s="11" t="n"/>
      <x:c r="E92" s="10" t="n"/>
      <x:c r="F92" s="10" t="n"/>
      <x:c r="G92" s="9">
        <x:f>IF($A92="","",$A92&amp;"|"&amp;$D92)</x:f>
      </x:c>
      <x:c r="H92" s="14">
        <x:f>IF($G92="","",IFERROR(VLOOKUP($G92,Player_Stats!$A$6:$R$505,18,FALSE),0))</x:f>
      </x:c>
    </x:row>
    <x:row r="93">
      <x:c r="A93" s="10" t="n"/>
      <x:c r="B93" s="10" t="n"/>
      <x:c r="C93" s="10" t="n"/>
      <x:c r="D93" s="11" t="n"/>
      <x:c r="E93" s="10" t="n"/>
      <x:c r="F93" s="10" t="n"/>
      <x:c r="G93" s="9">
        <x:f>IF($A93="","",$A93&amp;"|"&amp;$D93)</x:f>
      </x:c>
      <x:c r="H93" s="14">
        <x:f>IF($G93="","",IFERROR(VLOOKUP($G93,Player_Stats!$A$6:$R$505,18,FALSE),0))</x:f>
      </x:c>
    </x:row>
    <x:row r="94">
      <x:c r="A94" s="10" t="n"/>
      <x:c r="B94" s="10" t="n"/>
      <x:c r="C94" s="10" t="n"/>
      <x:c r="D94" s="11" t="n"/>
      <x:c r="E94" s="10" t="n"/>
      <x:c r="F94" s="10" t="n"/>
      <x:c r="G94" s="9">
        <x:f>IF($A94="","",$A94&amp;"|"&amp;$D94)</x:f>
      </x:c>
      <x:c r="H94" s="14">
        <x:f>IF($G94="","",IFERROR(VLOOKUP($G94,Player_Stats!$A$6:$R$505,18,FALSE),0))</x:f>
      </x:c>
    </x:row>
    <x:row r="95">
      <x:c r="A95" s="10" t="n"/>
      <x:c r="B95" s="10" t="n"/>
      <x:c r="C95" s="10" t="n"/>
      <x:c r="D95" s="11" t="n"/>
      <x:c r="E95" s="10" t="n"/>
      <x:c r="F95" s="10" t="n"/>
      <x:c r="G95" s="9">
        <x:f>IF($A95="","",$A95&amp;"|"&amp;$D95)</x:f>
      </x:c>
      <x:c r="H95" s="14">
        <x:f>IF($G95="","",IFERROR(VLOOKUP($G95,Player_Stats!$A$6:$R$505,18,FALSE),0))</x:f>
      </x:c>
    </x:row>
    <x:row r="96">
      <x:c r="A96" s="10" t="n"/>
      <x:c r="B96" s="10" t="n"/>
      <x:c r="C96" s="10" t="n"/>
      <x:c r="D96" s="11" t="n"/>
      <x:c r="E96" s="10" t="n"/>
      <x:c r="F96" s="10" t="n"/>
      <x:c r="G96" s="9">
        <x:f>IF($A96="","",$A96&amp;"|"&amp;$D96)</x:f>
      </x:c>
      <x:c r="H96" s="14">
        <x:f>IF($G96="","",IFERROR(VLOOKUP($G96,Player_Stats!$A$6:$R$505,18,FALSE),0))</x:f>
      </x:c>
    </x:row>
    <x:row r="97">
      <x:c r="A97" s="10" t="n"/>
      <x:c r="B97" s="10" t="n"/>
      <x:c r="C97" s="10" t="n"/>
      <x:c r="D97" s="11" t="n"/>
      <x:c r="E97" s="10" t="n"/>
      <x:c r="F97" s="10" t="n"/>
      <x:c r="G97" s="9">
        <x:f>IF($A97="","",$A97&amp;"|"&amp;$D97)</x:f>
      </x:c>
      <x:c r="H97" s="14">
        <x:f>IF($G97="","",IFERROR(VLOOKUP($G97,Player_Stats!$A$6:$R$505,18,FALSE),0))</x:f>
      </x:c>
    </x:row>
    <x:row r="98">
      <x:c r="A98" s="10" t="n"/>
      <x:c r="B98" s="10" t="n"/>
      <x:c r="C98" s="10" t="n"/>
      <x:c r="D98" s="11" t="n"/>
      <x:c r="E98" s="10" t="n"/>
      <x:c r="F98" s="10" t="n"/>
      <x:c r="G98" s="9">
        <x:f>IF($A98="","",$A98&amp;"|"&amp;$D98)</x:f>
      </x:c>
      <x:c r="H98" s="14">
        <x:f>IF($G98="","",IFERROR(VLOOKUP($G98,Player_Stats!$A$6:$R$505,18,FALSE),0))</x:f>
      </x:c>
    </x:row>
    <x:row r="99">
      <x:c r="A99" s="10" t="n"/>
      <x:c r="B99" s="10" t="n"/>
      <x:c r="C99" s="10" t="n"/>
      <x:c r="D99" s="11" t="n"/>
      <x:c r="E99" s="10" t="n"/>
      <x:c r="F99" s="10" t="n"/>
      <x:c r="G99" s="9">
        <x:f>IF($A99="","",$A99&amp;"|"&amp;$D99)</x:f>
      </x:c>
      <x:c r="H99" s="14">
        <x:f>IF($G99="","",IFERROR(VLOOKUP($G99,Player_Stats!$A$6:$R$505,18,FALSE),0))</x:f>
      </x:c>
    </x:row>
    <x:row r="100">
      <x:c r="A100" s="10" t="n"/>
      <x:c r="B100" s="10" t="n"/>
      <x:c r="C100" s="10" t="n"/>
      <x:c r="D100" s="11" t="n"/>
      <x:c r="E100" s="10" t="n"/>
      <x:c r="F100" s="10" t="n"/>
      <x:c r="G100" s="9">
        <x:f>IF($A100="","",$A100&amp;"|"&amp;$D100)</x:f>
      </x:c>
      <x:c r="H100" s="14">
        <x:f>IF($G100="","",IFERROR(VLOOKUP($G100,Player_Stats!$A$6:$R$505,18,FALSE),0))</x:f>
      </x:c>
    </x:row>
    <x:row r="101">
      <x:c r="A101" s="10" t="n"/>
      <x:c r="B101" s="10" t="n"/>
      <x:c r="C101" s="10" t="n"/>
      <x:c r="D101" s="11" t="n"/>
      <x:c r="E101" s="10" t="n"/>
      <x:c r="F101" s="10" t="n"/>
      <x:c r="G101" s="9">
        <x:f>IF($A101="","",$A101&amp;"|"&amp;$D101)</x:f>
      </x:c>
      <x:c r="H101" s="14">
        <x:f>IF($G101="","",IFERROR(VLOOKUP($G101,Player_Stats!$A$6:$R$505,18,FALSE),0))</x:f>
      </x:c>
    </x:row>
    <x:row r="102">
      <x:c r="A102" s="10" t="n"/>
      <x:c r="B102" s="10" t="n"/>
      <x:c r="C102" s="10" t="n"/>
      <x:c r="D102" s="11" t="n"/>
      <x:c r="E102" s="10" t="n"/>
      <x:c r="F102" s="10" t="n"/>
      <x:c r="G102" s="9">
        <x:f>IF($A102="","",$A102&amp;"|"&amp;$D102)</x:f>
      </x:c>
      <x:c r="H102" s="14">
        <x:f>IF($G102="","",IFERROR(VLOOKUP($G102,Player_Stats!$A$6:$R$505,18,FALSE),0))</x:f>
      </x:c>
    </x:row>
    <x:row r="103">
      <x:c r="A103" s="10" t="n"/>
      <x:c r="B103" s="10" t="n"/>
      <x:c r="C103" s="10" t="n"/>
      <x:c r="D103" s="11" t="n"/>
      <x:c r="E103" s="10" t="n"/>
      <x:c r="F103" s="10" t="n"/>
      <x:c r="G103" s="9">
        <x:f>IF($A103="","",$A103&amp;"|"&amp;$D103)</x:f>
      </x:c>
      <x:c r="H103" s="14">
        <x:f>IF($G103="","",IFERROR(VLOOKUP($G103,Player_Stats!$A$6:$R$505,18,FALSE),0))</x:f>
      </x:c>
    </x:row>
    <x:row r="104">
      <x:c r="A104" s="10" t="n"/>
      <x:c r="B104" s="10" t="n"/>
      <x:c r="C104" s="10" t="n"/>
      <x:c r="D104" s="11" t="n"/>
      <x:c r="E104" s="10" t="n"/>
      <x:c r="F104" s="10" t="n"/>
      <x:c r="G104" s="9">
        <x:f>IF($A104="","",$A104&amp;"|"&amp;$D104)</x:f>
      </x:c>
      <x:c r="H104" s="14">
        <x:f>IF($G104="","",IFERROR(VLOOKUP($G104,Player_Stats!$A$6:$R$505,18,FALSE),0))</x:f>
      </x:c>
    </x:row>
    <x:row r="105">
      <x:c r="A105" s="10" t="n"/>
      <x:c r="B105" s="10" t="n"/>
      <x:c r="C105" s="10" t="n"/>
      <x:c r="D105" s="11" t="n"/>
      <x:c r="E105" s="10" t="n"/>
      <x:c r="F105" s="10" t="n"/>
      <x:c r="G105" s="9">
        <x:f>IF($A105="","",$A105&amp;"|"&amp;$D105)</x:f>
      </x:c>
      <x:c r="H105" s="14">
        <x:f>IF($G105="","",IFERROR(VLOOKUP($G105,Player_Stats!$A$6:$R$505,18,FALSE),0))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8" customWidth="1"/>
    <x:col min="3" max="3" width="14" customWidth="1"/>
    <x:col min="4" max="4" width="16" customWidth="1"/>
    <x:col min="5" max="5" width="12" customWidth="1"/>
    <x:col min="6" max="6" width="12" customWidth="1"/>
  </x:cols>
  <x:sheetData>
    <x:row r="1">
      <x:c r="A1" s="1" t="inlineStr">
        <x:is>
          <x:t xml:space="preserve">Per-Game Scores (auto-calculated)</x:t>
        </x:is>
      </x:c>
    </x:row>
    <x:row r="3">
      <x:c r="A3" s="8" t="inlineStr">
        <x:is>
          <x:t xml:space="preserve">Add rows for each GameID+User you want to score (or build from a pivot later).</x:t>
        </x:is>
      </x:c>
    </x:row>
    <x:row r="5" ht="22" customHeight="1">
      <x:c r="A5" s="5" t="inlineStr">
        <x:is>
          <x:t xml:space="preserve">GameID</x:t>
        </x:is>
      </x:c>
      <x:c r="B5" s="5" t="inlineStr">
        <x:is>
          <x:t xml:space="preserve">User</x:t>
        </x:is>
      </x:c>
      <x:c r="C5" s="5" t="inlineStr">
        <x:is>
          <x:t xml:space="preserve">ExtraInnings?</x:t>
        </x:is>
      </x:c>
      <x:c r="D5" s="5" t="inlineStr">
        <x:is>
          <x:t xml:space="preserve">QuestionnairePts</x:t>
        </x:is>
      </x:c>
      <x:c r="E5" s="5" t="inlineStr">
        <x:is>
          <x:t xml:space="preserve">PicksPts</x:t>
        </x:is>
      </x:c>
      <x:c r="F5" s="5" t="inlineStr">
        <x:is>
          <x:t xml:space="preserve">TotalPts</x:t>
        </x:is>
      </x:c>
    </x:row>
    <x:row r="6">
      <x:c r="A6" s="10" t="n"/>
      <x:c r="B6" s="10" t="n"/>
      <x:c r="C6" s="9">
        <x:f>IF($A6="","",IFERROR(INDEX(Results!$E$6:$E$500,MATCH($A6,Results!$A$6:$A$500,0)),""))</x:f>
      </x:c>
      <x:c r="D6" s="14">
        <x:f>IF($A6="","",IF(Settings!$B$8="Yes",IF($C6="Yes",SUMIFS(Questionnaire_Answers!$I$6:$I$505,Questionnaire_Answers!$A$6:$A$505,$A6,Questionnaire_Answers!$B$6:$B$505,$B6),0),SUMIFS(Questionnaire_Answers!$I$6:$I$505,Questionnaire_Answers!$A$6:$A$505,$A6,Questionnaire_Answers!$B$6:$B$505,$B6)))</x:f>
      </x:c>
      <x:c r="E6" s="14">
        <x:f>IF($A6="","",SUMIFS(Picks!$H$6:$H$505,Picks!$A$6:$A$505,$A6,Picks!$B$6:$B$505,$B6))</x:f>
      </x:c>
      <x:c r="F6" s="14">
        <x:f>IF($A6="","",IF(Settings!$B$7="Questionnaire",$D6*Settings!$B$15,IF(Settings!$B$7="Picks",$E6*Settings!$B$16,($D6*Settings!$B$15)+($E6*Settings!$B$16))))</x:f>
      </x:c>
    </x:row>
    <x:row r="7">
      <x:c r="A7" s="10" t="n"/>
      <x:c r="B7" s="10" t="n"/>
      <x:c r="C7" s="9">
        <x:f>IF($A7="","",IFERROR(INDEX(Results!$E$6:$E$500,MATCH($A7,Results!$A$6:$A$500,0)),""))</x:f>
      </x:c>
      <x:c r="D7" s="14">
        <x:f>IF($A7="","",IF(Settings!$B$8="Yes",IF($C7="Yes",SUMIFS(Questionnaire_Answers!$I$6:$I$505,Questionnaire_Answers!$A$6:$A$505,$A7,Questionnaire_Answers!$B$6:$B$505,$B7),0),SUMIFS(Questionnaire_Answers!$I$6:$I$505,Questionnaire_Answers!$A$6:$A$505,$A7,Questionnaire_Answers!$B$6:$B$505,$B7)))</x:f>
      </x:c>
      <x:c r="E7" s="14">
        <x:f>IF($A7="","",SUMIFS(Picks!$H$6:$H$505,Picks!$A$6:$A$505,$A7,Picks!$B$6:$B$505,$B7))</x:f>
      </x:c>
      <x:c r="F7" s="14">
        <x:f>IF($A7="","",IF(Settings!$B$7="Questionnaire",$D7*Settings!$B$15,IF(Settings!$B$7="Picks",$E7*Settings!$B$16,($D7*Settings!$B$15)+($E7*Settings!$B$16))))</x:f>
      </x:c>
    </x:row>
    <x:row r="8">
      <x:c r="A8" s="10" t="n"/>
      <x:c r="B8" s="10" t="n"/>
      <x:c r="C8" s="9">
        <x:f>IF($A8="","",IFERROR(INDEX(Results!$E$6:$E$500,MATCH($A8,Results!$A$6:$A$500,0)),""))</x:f>
      </x:c>
      <x:c r="D8" s="14">
        <x:f>IF($A8="","",IF(Settings!$B$8="Yes",IF($C8="Yes",SUMIFS(Questionnaire_Answers!$I$6:$I$505,Questionnaire_Answers!$A$6:$A$505,$A8,Questionnaire_Answers!$B$6:$B$505,$B8),0),SUMIFS(Questionnaire_Answers!$I$6:$I$505,Questionnaire_Answers!$A$6:$A$505,$A8,Questionnaire_Answers!$B$6:$B$505,$B8)))</x:f>
      </x:c>
      <x:c r="E8" s="14">
        <x:f>IF($A8="","",SUMIFS(Picks!$H$6:$H$505,Picks!$A$6:$A$505,$A8,Picks!$B$6:$B$505,$B8))</x:f>
      </x:c>
      <x:c r="F8" s="14">
        <x:f>IF($A8="","",IF(Settings!$B$7="Questionnaire",$D8*Settings!$B$15,IF(Settings!$B$7="Picks",$E8*Settings!$B$16,($D8*Settings!$B$15)+($E8*Settings!$B$16))))</x:f>
      </x:c>
    </x:row>
    <x:row r="9">
      <x:c r="A9" s="10" t="n"/>
      <x:c r="B9" s="10" t="n"/>
      <x:c r="C9" s="9">
        <x:f>IF($A9="","",IFERROR(INDEX(Results!$E$6:$E$500,MATCH($A9,Results!$A$6:$A$500,0)),""))</x:f>
      </x:c>
      <x:c r="D9" s="14">
        <x:f>IF($A9="","",IF(Settings!$B$8="Yes",IF($C9="Yes",SUMIFS(Questionnaire_Answers!$I$6:$I$505,Questionnaire_Answers!$A$6:$A$505,$A9,Questionnaire_Answers!$B$6:$B$505,$B9),0),SUMIFS(Questionnaire_Answers!$I$6:$I$505,Questionnaire_Answers!$A$6:$A$505,$A9,Questionnaire_Answers!$B$6:$B$505,$B9)))</x:f>
      </x:c>
      <x:c r="E9" s="14">
        <x:f>IF($A9="","",SUMIFS(Picks!$H$6:$H$505,Picks!$A$6:$A$505,$A9,Picks!$B$6:$B$505,$B9))</x:f>
      </x:c>
      <x:c r="F9" s="14">
        <x:f>IF($A9="","",IF(Settings!$B$7="Questionnaire",$D9*Settings!$B$15,IF(Settings!$B$7="Picks",$E9*Settings!$B$16,($D9*Settings!$B$15)+($E9*Settings!$B$16))))</x:f>
      </x:c>
    </x:row>
    <x:row r="10">
      <x:c r="A10" s="10" t="n"/>
      <x:c r="B10" s="10" t="n"/>
      <x:c r="C10" s="9">
        <x:f>IF($A10="","",IFERROR(INDEX(Results!$E$6:$E$500,MATCH($A10,Results!$A$6:$A$500,0)),""))</x:f>
      </x:c>
      <x:c r="D10" s="14">
        <x:f>IF($A10="","",IF(Settings!$B$8="Yes",IF($C10="Yes",SUMIFS(Questionnaire_Answers!$I$6:$I$505,Questionnaire_Answers!$A$6:$A$505,$A10,Questionnaire_Answers!$B$6:$B$505,$B10),0),SUMIFS(Questionnaire_Answers!$I$6:$I$505,Questionnaire_Answers!$A$6:$A$505,$A10,Questionnaire_Answers!$B$6:$B$505,$B10)))</x:f>
      </x:c>
      <x:c r="E10" s="14">
        <x:f>IF($A10="","",SUMIFS(Picks!$H$6:$H$505,Picks!$A$6:$A$505,$A10,Picks!$B$6:$B$505,$B10))</x:f>
      </x:c>
      <x:c r="F10" s="14">
        <x:f>IF($A10="","",IF(Settings!$B$7="Questionnaire",$D10*Settings!$B$15,IF(Settings!$B$7="Picks",$E10*Settings!$B$16,($D10*Settings!$B$15)+($E10*Settings!$B$16))))</x:f>
      </x:c>
    </x:row>
    <x:row r="11">
      <x:c r="A11" s="10" t="n"/>
      <x:c r="B11" s="10" t="n"/>
      <x:c r="C11" s="9">
        <x:f>IF($A11="","",IFERROR(INDEX(Results!$E$6:$E$500,MATCH($A11,Results!$A$6:$A$500,0)),""))</x:f>
      </x:c>
      <x:c r="D11" s="14">
        <x:f>IF($A11="","",IF(Settings!$B$8="Yes",IF($C11="Yes",SUMIFS(Questionnaire_Answers!$I$6:$I$505,Questionnaire_Answers!$A$6:$A$505,$A11,Questionnaire_Answers!$B$6:$B$505,$B11),0),SUMIFS(Questionnaire_Answers!$I$6:$I$505,Questionnaire_Answers!$A$6:$A$505,$A11,Questionnaire_Answers!$B$6:$B$505,$B11)))</x:f>
      </x:c>
      <x:c r="E11" s="14">
        <x:f>IF($A11="","",SUMIFS(Picks!$H$6:$H$505,Picks!$A$6:$A$505,$A11,Picks!$B$6:$B$505,$B11))</x:f>
      </x:c>
      <x:c r="F11" s="14">
        <x:f>IF($A11="","",IF(Settings!$B$7="Questionnaire",$D11*Settings!$B$15,IF(Settings!$B$7="Picks",$E11*Settings!$B$16,($D11*Settings!$B$15)+($E11*Settings!$B$16))))</x:f>
      </x:c>
    </x:row>
    <x:row r="12">
      <x:c r="A12" s="10" t="n"/>
      <x:c r="B12" s="10" t="n"/>
      <x:c r="C12" s="9">
        <x:f>IF($A12="","",IFERROR(INDEX(Results!$E$6:$E$500,MATCH($A12,Results!$A$6:$A$500,0)),""))</x:f>
      </x:c>
      <x:c r="D12" s="14">
        <x:f>IF($A12="","",IF(Settings!$B$8="Yes",IF($C12="Yes",SUMIFS(Questionnaire_Answers!$I$6:$I$505,Questionnaire_Answers!$A$6:$A$505,$A12,Questionnaire_Answers!$B$6:$B$505,$B12),0),SUMIFS(Questionnaire_Answers!$I$6:$I$505,Questionnaire_Answers!$A$6:$A$505,$A12,Questionnaire_Answers!$B$6:$B$505,$B12)))</x:f>
      </x:c>
      <x:c r="E12" s="14">
        <x:f>IF($A12="","",SUMIFS(Picks!$H$6:$H$505,Picks!$A$6:$A$505,$A12,Picks!$B$6:$B$505,$B12))</x:f>
      </x:c>
      <x:c r="F12" s="14">
        <x:f>IF($A12="","",IF(Settings!$B$7="Questionnaire",$D12*Settings!$B$15,IF(Settings!$B$7="Picks",$E12*Settings!$B$16,($D12*Settings!$B$15)+($E12*Settings!$B$16))))</x:f>
      </x:c>
    </x:row>
    <x:row r="13">
      <x:c r="A13" s="10" t="n"/>
      <x:c r="B13" s="10" t="n"/>
      <x:c r="C13" s="9">
        <x:f>IF($A13="","",IFERROR(INDEX(Results!$E$6:$E$500,MATCH($A13,Results!$A$6:$A$500,0)),""))</x:f>
      </x:c>
      <x:c r="D13" s="14">
        <x:f>IF($A13="","",IF(Settings!$B$8="Yes",IF($C13="Yes",SUMIFS(Questionnaire_Answers!$I$6:$I$505,Questionnaire_Answers!$A$6:$A$505,$A13,Questionnaire_Answers!$B$6:$B$505,$B13),0),SUMIFS(Questionnaire_Answers!$I$6:$I$505,Questionnaire_Answers!$A$6:$A$505,$A13,Questionnaire_Answers!$B$6:$B$505,$B13)))</x:f>
      </x:c>
      <x:c r="E13" s="14">
        <x:f>IF($A13="","",SUMIFS(Picks!$H$6:$H$505,Picks!$A$6:$A$505,$A13,Picks!$B$6:$B$505,$B13))</x:f>
      </x:c>
      <x:c r="F13" s="14">
        <x:f>IF($A13="","",IF(Settings!$B$7="Questionnaire",$D13*Settings!$B$15,IF(Settings!$B$7="Picks",$E13*Settings!$B$16,($D13*Settings!$B$15)+($E13*Settings!$B$16))))</x:f>
      </x:c>
    </x:row>
    <x:row r="14">
      <x:c r="A14" s="10" t="n"/>
      <x:c r="B14" s="10" t="n"/>
      <x:c r="C14" s="9">
        <x:f>IF($A14="","",IFERROR(INDEX(Results!$E$6:$E$500,MATCH($A14,Results!$A$6:$A$500,0)),""))</x:f>
      </x:c>
      <x:c r="D14" s="14">
        <x:f>IF($A14="","",IF(Settings!$B$8="Yes",IF($C14="Yes",SUMIFS(Questionnaire_Answers!$I$6:$I$505,Questionnaire_Answers!$A$6:$A$505,$A14,Questionnaire_Answers!$B$6:$B$505,$B14),0),SUMIFS(Questionnaire_Answers!$I$6:$I$505,Questionnaire_Answers!$A$6:$A$505,$A14,Questionnaire_Answers!$B$6:$B$505,$B14)))</x:f>
      </x:c>
      <x:c r="E14" s="14">
        <x:f>IF($A14="","",SUMIFS(Picks!$H$6:$H$505,Picks!$A$6:$A$505,$A14,Picks!$B$6:$B$505,$B14))</x:f>
      </x:c>
      <x:c r="F14" s="14">
        <x:f>IF($A14="","",IF(Settings!$B$7="Questionnaire",$D14*Settings!$B$15,IF(Settings!$B$7="Picks",$E14*Settings!$B$16,($D14*Settings!$B$15)+($E14*Settings!$B$16))))</x:f>
      </x:c>
    </x:row>
    <x:row r="15">
      <x:c r="A15" s="10" t="n"/>
      <x:c r="B15" s="10" t="n"/>
      <x:c r="C15" s="9">
        <x:f>IF($A15="","",IFERROR(INDEX(Results!$E$6:$E$500,MATCH($A15,Results!$A$6:$A$500,0)),""))</x:f>
      </x:c>
      <x:c r="D15" s="14">
        <x:f>IF($A15="","",IF(Settings!$B$8="Yes",IF($C15="Yes",SUMIFS(Questionnaire_Answers!$I$6:$I$505,Questionnaire_Answers!$A$6:$A$505,$A15,Questionnaire_Answers!$B$6:$B$505,$B15),0),SUMIFS(Questionnaire_Answers!$I$6:$I$505,Questionnaire_Answers!$A$6:$A$505,$A15,Questionnaire_Answers!$B$6:$B$505,$B15)))</x:f>
      </x:c>
      <x:c r="E15" s="14">
        <x:f>IF($A15="","",SUMIFS(Picks!$H$6:$H$505,Picks!$A$6:$A$505,$A15,Picks!$B$6:$B$505,$B15))</x:f>
      </x:c>
      <x:c r="F15" s="14">
        <x:f>IF($A15="","",IF(Settings!$B$7="Questionnaire",$D15*Settings!$B$15,IF(Settings!$B$7="Picks",$E15*Settings!$B$16,($D15*Settings!$B$15)+($E15*Settings!$B$16))))</x:f>
      </x:c>
    </x:row>
    <x:row r="16">
      <x:c r="A16" s="10" t="n"/>
      <x:c r="B16" s="10" t="n"/>
      <x:c r="C16" s="9">
        <x:f>IF($A16="","",IFERROR(INDEX(Results!$E$6:$E$500,MATCH($A16,Results!$A$6:$A$500,0)),""))</x:f>
      </x:c>
      <x:c r="D16" s="14">
        <x:f>IF($A16="","",IF(Settings!$B$8="Yes",IF($C16="Yes",SUMIFS(Questionnaire_Answers!$I$6:$I$505,Questionnaire_Answers!$A$6:$A$505,$A16,Questionnaire_Answers!$B$6:$B$505,$B16),0),SUMIFS(Questionnaire_Answers!$I$6:$I$505,Questionnaire_Answers!$A$6:$A$505,$A16,Questionnaire_Answers!$B$6:$B$505,$B16)))</x:f>
      </x:c>
      <x:c r="E16" s="14">
        <x:f>IF($A16="","",SUMIFS(Picks!$H$6:$H$505,Picks!$A$6:$A$505,$A16,Picks!$B$6:$B$505,$B16))</x:f>
      </x:c>
      <x:c r="F16" s="14">
        <x:f>IF($A16="","",IF(Settings!$B$7="Questionnaire",$D16*Settings!$B$15,IF(Settings!$B$7="Picks",$E16*Settings!$B$16,($D16*Settings!$B$15)+($E16*Settings!$B$16))))</x:f>
      </x:c>
    </x:row>
    <x:row r="17">
      <x:c r="A17" s="10" t="n"/>
      <x:c r="B17" s="10" t="n"/>
      <x:c r="C17" s="9">
        <x:f>IF($A17="","",IFERROR(INDEX(Results!$E$6:$E$500,MATCH($A17,Results!$A$6:$A$500,0)),""))</x:f>
      </x:c>
      <x:c r="D17" s="14">
        <x:f>IF($A17="","",IF(Settings!$B$8="Yes",IF($C17="Yes",SUMIFS(Questionnaire_Answers!$I$6:$I$505,Questionnaire_Answers!$A$6:$A$505,$A17,Questionnaire_Answers!$B$6:$B$505,$B17),0),SUMIFS(Questionnaire_Answers!$I$6:$I$505,Questionnaire_Answers!$A$6:$A$505,$A17,Questionnaire_Answers!$B$6:$B$505,$B17)))</x:f>
      </x:c>
      <x:c r="E17" s="14">
        <x:f>IF($A17="","",SUMIFS(Picks!$H$6:$H$505,Picks!$A$6:$A$505,$A17,Picks!$B$6:$B$505,$B17))</x:f>
      </x:c>
      <x:c r="F17" s="14">
        <x:f>IF($A17="","",IF(Settings!$B$7="Questionnaire",$D17*Settings!$B$15,IF(Settings!$B$7="Picks",$E17*Settings!$B$16,($D17*Settings!$B$15)+($E17*Settings!$B$16))))</x:f>
      </x:c>
    </x:row>
    <x:row r="18">
      <x:c r="A18" s="10" t="n"/>
      <x:c r="B18" s="10" t="n"/>
      <x:c r="C18" s="9">
        <x:f>IF($A18="","",IFERROR(INDEX(Results!$E$6:$E$500,MATCH($A18,Results!$A$6:$A$500,0)),""))</x:f>
      </x:c>
      <x:c r="D18" s="14">
        <x:f>IF($A18="","",IF(Settings!$B$8="Yes",IF($C18="Yes",SUMIFS(Questionnaire_Answers!$I$6:$I$505,Questionnaire_Answers!$A$6:$A$505,$A18,Questionnaire_Answers!$B$6:$B$505,$B18),0),SUMIFS(Questionnaire_Answers!$I$6:$I$505,Questionnaire_Answers!$A$6:$A$505,$A18,Questionnaire_Answers!$B$6:$B$505,$B18)))</x:f>
      </x:c>
      <x:c r="E18" s="14">
        <x:f>IF($A18="","",SUMIFS(Picks!$H$6:$H$505,Picks!$A$6:$A$505,$A18,Picks!$B$6:$B$505,$B18))</x:f>
      </x:c>
      <x:c r="F18" s="14">
        <x:f>IF($A18="","",IF(Settings!$B$7="Questionnaire",$D18*Settings!$B$15,IF(Settings!$B$7="Picks",$E18*Settings!$B$16,($D18*Settings!$B$15)+($E18*Settings!$B$16))))</x:f>
      </x:c>
    </x:row>
    <x:row r="19">
      <x:c r="A19" s="10" t="n"/>
      <x:c r="B19" s="10" t="n"/>
      <x:c r="C19" s="9">
        <x:f>IF($A19="","",IFERROR(INDEX(Results!$E$6:$E$500,MATCH($A19,Results!$A$6:$A$500,0)),""))</x:f>
      </x:c>
      <x:c r="D19" s="14">
        <x:f>IF($A19="","",IF(Settings!$B$8="Yes",IF($C19="Yes",SUMIFS(Questionnaire_Answers!$I$6:$I$505,Questionnaire_Answers!$A$6:$A$505,$A19,Questionnaire_Answers!$B$6:$B$505,$B19),0),SUMIFS(Questionnaire_Answers!$I$6:$I$505,Questionnaire_Answers!$A$6:$A$505,$A19,Questionnaire_Answers!$B$6:$B$505,$B19)))</x:f>
      </x:c>
      <x:c r="E19" s="14">
        <x:f>IF($A19="","",SUMIFS(Picks!$H$6:$H$505,Picks!$A$6:$A$505,$A19,Picks!$B$6:$B$505,$B19))</x:f>
      </x:c>
      <x:c r="F19" s="14">
        <x:f>IF($A19="","",IF(Settings!$B$7="Questionnaire",$D19*Settings!$B$15,IF(Settings!$B$7="Picks",$E19*Settings!$B$16,($D19*Settings!$B$15)+($E19*Settings!$B$16))))</x:f>
      </x:c>
    </x:row>
    <x:row r="20">
      <x:c r="A20" s="10" t="n"/>
      <x:c r="B20" s="10" t="n"/>
      <x:c r="C20" s="9">
        <x:f>IF($A20="","",IFERROR(INDEX(Results!$E$6:$E$500,MATCH($A20,Results!$A$6:$A$500,0)),""))</x:f>
      </x:c>
      <x:c r="D20" s="14">
        <x:f>IF($A20="","",IF(Settings!$B$8="Yes",IF($C20="Yes",SUMIFS(Questionnaire_Answers!$I$6:$I$505,Questionnaire_Answers!$A$6:$A$505,$A20,Questionnaire_Answers!$B$6:$B$505,$B20),0),SUMIFS(Questionnaire_Answers!$I$6:$I$505,Questionnaire_Answers!$A$6:$A$505,$A20,Questionnaire_Answers!$B$6:$B$505,$B20)))</x:f>
      </x:c>
      <x:c r="E20" s="14">
        <x:f>IF($A20="","",SUMIFS(Picks!$H$6:$H$505,Picks!$A$6:$A$505,$A20,Picks!$B$6:$B$505,$B20))</x:f>
      </x:c>
      <x:c r="F20" s="14">
        <x:f>IF($A20="","",IF(Settings!$B$7="Questionnaire",$D20*Settings!$B$15,IF(Settings!$B$7="Picks",$E20*Settings!$B$16,($D20*Settings!$B$15)+($E20*Settings!$B$16))))</x:f>
      </x:c>
    </x:row>
    <x:row r="21">
      <x:c r="A21" s="10" t="n"/>
      <x:c r="B21" s="10" t="n"/>
      <x:c r="C21" s="9">
        <x:f>IF($A21="","",IFERROR(INDEX(Results!$E$6:$E$500,MATCH($A21,Results!$A$6:$A$500,0)),""))</x:f>
      </x:c>
      <x:c r="D21" s="14">
        <x:f>IF($A21="","",IF(Settings!$B$8="Yes",IF($C21="Yes",SUMIFS(Questionnaire_Answers!$I$6:$I$505,Questionnaire_Answers!$A$6:$A$505,$A21,Questionnaire_Answers!$B$6:$B$505,$B21),0),SUMIFS(Questionnaire_Answers!$I$6:$I$505,Questionnaire_Answers!$A$6:$A$505,$A21,Questionnaire_Answers!$B$6:$B$505,$B21)))</x:f>
      </x:c>
      <x:c r="E21" s="14">
        <x:f>IF($A21="","",SUMIFS(Picks!$H$6:$H$505,Picks!$A$6:$A$505,$A21,Picks!$B$6:$B$505,$B21))</x:f>
      </x:c>
      <x:c r="F21" s="14">
        <x:f>IF($A21="","",IF(Settings!$B$7="Questionnaire",$D21*Settings!$B$15,IF(Settings!$B$7="Picks",$E21*Settings!$B$16,($D21*Settings!$B$15)+($E21*Settings!$B$16))))</x:f>
      </x:c>
    </x:row>
    <x:row r="22">
      <x:c r="A22" s="10" t="n"/>
      <x:c r="B22" s="10" t="n"/>
      <x:c r="C22" s="9">
        <x:f>IF($A22="","",IFERROR(INDEX(Results!$E$6:$E$500,MATCH($A22,Results!$A$6:$A$500,0)),""))</x:f>
      </x:c>
      <x:c r="D22" s="14">
        <x:f>IF($A22="","",IF(Settings!$B$8="Yes",IF($C22="Yes",SUMIFS(Questionnaire_Answers!$I$6:$I$505,Questionnaire_Answers!$A$6:$A$505,$A22,Questionnaire_Answers!$B$6:$B$505,$B22),0),SUMIFS(Questionnaire_Answers!$I$6:$I$505,Questionnaire_Answers!$A$6:$A$505,$A22,Questionnaire_Answers!$B$6:$B$505,$B22)))</x:f>
      </x:c>
      <x:c r="E22" s="14">
        <x:f>IF($A22="","",SUMIFS(Picks!$H$6:$H$505,Picks!$A$6:$A$505,$A22,Picks!$B$6:$B$505,$B22))</x:f>
      </x:c>
      <x:c r="F22" s="14">
        <x:f>IF($A22="","",IF(Settings!$B$7="Questionnaire",$D22*Settings!$B$15,IF(Settings!$B$7="Picks",$E22*Settings!$B$16,($D22*Settings!$B$15)+($E22*Settings!$B$16))))</x:f>
      </x:c>
    </x:row>
    <x:row r="23">
      <x:c r="A23" s="10" t="n"/>
      <x:c r="B23" s="10" t="n"/>
      <x:c r="C23" s="9">
        <x:f>IF($A23="","",IFERROR(INDEX(Results!$E$6:$E$500,MATCH($A23,Results!$A$6:$A$500,0)),""))</x:f>
      </x:c>
      <x:c r="D23" s="14">
        <x:f>IF($A23="","",IF(Settings!$B$8="Yes",IF($C23="Yes",SUMIFS(Questionnaire_Answers!$I$6:$I$505,Questionnaire_Answers!$A$6:$A$505,$A23,Questionnaire_Answers!$B$6:$B$505,$B23),0),SUMIFS(Questionnaire_Answers!$I$6:$I$505,Questionnaire_Answers!$A$6:$A$505,$A23,Questionnaire_Answers!$B$6:$B$505,$B23)))</x:f>
      </x:c>
      <x:c r="E23" s="14">
        <x:f>IF($A23="","",SUMIFS(Picks!$H$6:$H$505,Picks!$A$6:$A$505,$A23,Picks!$B$6:$B$505,$B23))</x:f>
      </x:c>
      <x:c r="F23" s="14">
        <x:f>IF($A23="","",IF(Settings!$B$7="Questionnaire",$D23*Settings!$B$15,IF(Settings!$B$7="Picks",$E23*Settings!$B$16,($D23*Settings!$B$15)+($E23*Settings!$B$16))))</x:f>
      </x:c>
    </x:row>
    <x:row r="24">
      <x:c r="A24" s="10" t="n"/>
      <x:c r="B24" s="10" t="n"/>
      <x:c r="C24" s="9">
        <x:f>IF($A24="","",IFERROR(INDEX(Results!$E$6:$E$500,MATCH($A24,Results!$A$6:$A$500,0)),""))</x:f>
      </x:c>
      <x:c r="D24" s="14">
        <x:f>IF($A24="","",IF(Settings!$B$8="Yes",IF($C24="Yes",SUMIFS(Questionnaire_Answers!$I$6:$I$505,Questionnaire_Answers!$A$6:$A$505,$A24,Questionnaire_Answers!$B$6:$B$505,$B24),0),SUMIFS(Questionnaire_Answers!$I$6:$I$505,Questionnaire_Answers!$A$6:$A$505,$A24,Questionnaire_Answers!$B$6:$B$505,$B24)))</x:f>
      </x:c>
      <x:c r="E24" s="14">
        <x:f>IF($A24="","",SUMIFS(Picks!$H$6:$H$505,Picks!$A$6:$A$505,$A24,Picks!$B$6:$B$505,$B24))</x:f>
      </x:c>
      <x:c r="F24" s="14">
        <x:f>IF($A24="","",IF(Settings!$B$7="Questionnaire",$D24*Settings!$B$15,IF(Settings!$B$7="Picks",$E24*Settings!$B$16,($D24*Settings!$B$15)+($E24*Settings!$B$16))))</x:f>
      </x:c>
    </x:row>
    <x:row r="25">
      <x:c r="A25" s="10" t="n"/>
      <x:c r="B25" s="10" t="n"/>
      <x:c r="C25" s="9">
        <x:f>IF($A25="","",IFERROR(INDEX(Results!$E$6:$E$500,MATCH($A25,Results!$A$6:$A$500,0)),""))</x:f>
      </x:c>
      <x:c r="D25" s="14">
        <x:f>IF($A25="","",IF(Settings!$B$8="Yes",IF($C25="Yes",SUMIFS(Questionnaire_Answers!$I$6:$I$505,Questionnaire_Answers!$A$6:$A$505,$A25,Questionnaire_Answers!$B$6:$B$505,$B25),0),SUMIFS(Questionnaire_Answers!$I$6:$I$505,Questionnaire_Answers!$A$6:$A$505,$A25,Questionnaire_Answers!$B$6:$B$505,$B25)))</x:f>
      </x:c>
      <x:c r="E25" s="14">
        <x:f>IF($A25="","",SUMIFS(Picks!$H$6:$H$505,Picks!$A$6:$A$505,$A25,Picks!$B$6:$B$505,$B25))</x:f>
      </x:c>
      <x:c r="F25" s="14">
        <x:f>IF($A25="","",IF(Settings!$B$7="Questionnaire",$D25*Settings!$B$15,IF(Settings!$B$7="Picks",$E25*Settings!$B$16,($D25*Settings!$B$15)+($E25*Settings!$B$16))))</x:f>
      </x:c>
    </x:row>
    <x:row r="26">
      <x:c r="A26" s="10" t="n"/>
      <x:c r="B26" s="10" t="n"/>
      <x:c r="C26" s="9">
        <x:f>IF($A26="","",IFERROR(INDEX(Results!$E$6:$E$500,MATCH($A26,Results!$A$6:$A$500,0)),""))</x:f>
      </x:c>
      <x:c r="D26" s="14">
        <x:f>IF($A26="","",IF(Settings!$B$8="Yes",IF($C26="Yes",SUMIFS(Questionnaire_Answers!$I$6:$I$505,Questionnaire_Answers!$A$6:$A$505,$A26,Questionnaire_Answers!$B$6:$B$505,$B26),0),SUMIFS(Questionnaire_Answers!$I$6:$I$505,Questionnaire_Answers!$A$6:$A$505,$A26,Questionnaire_Answers!$B$6:$B$505,$B26)))</x:f>
      </x:c>
      <x:c r="E26" s="14">
        <x:f>IF($A26="","",SUMIFS(Picks!$H$6:$H$505,Picks!$A$6:$A$505,$A26,Picks!$B$6:$B$505,$B26))</x:f>
      </x:c>
      <x:c r="F26" s="14">
        <x:f>IF($A26="","",IF(Settings!$B$7="Questionnaire",$D26*Settings!$B$15,IF(Settings!$B$7="Picks",$E26*Settings!$B$16,($D26*Settings!$B$15)+($E26*Settings!$B$16))))</x:f>
      </x:c>
    </x:row>
    <x:row r="27">
      <x:c r="A27" s="10" t="n"/>
      <x:c r="B27" s="10" t="n"/>
      <x:c r="C27" s="9">
        <x:f>IF($A27="","",IFERROR(INDEX(Results!$E$6:$E$500,MATCH($A27,Results!$A$6:$A$500,0)),""))</x:f>
      </x:c>
      <x:c r="D27" s="14">
        <x:f>IF($A27="","",IF(Settings!$B$8="Yes",IF($C27="Yes",SUMIFS(Questionnaire_Answers!$I$6:$I$505,Questionnaire_Answers!$A$6:$A$505,$A27,Questionnaire_Answers!$B$6:$B$505,$B27),0),SUMIFS(Questionnaire_Answers!$I$6:$I$505,Questionnaire_Answers!$A$6:$A$505,$A27,Questionnaire_Answers!$B$6:$B$505,$B27)))</x:f>
      </x:c>
      <x:c r="E27" s="14">
        <x:f>IF($A27="","",SUMIFS(Picks!$H$6:$H$505,Picks!$A$6:$A$505,$A27,Picks!$B$6:$B$505,$B27))</x:f>
      </x:c>
      <x:c r="F27" s="14">
        <x:f>IF($A27="","",IF(Settings!$B$7="Questionnaire",$D27*Settings!$B$15,IF(Settings!$B$7="Picks",$E27*Settings!$B$16,($D27*Settings!$B$15)+($E27*Settings!$B$16))))</x:f>
      </x:c>
    </x:row>
    <x:row r="28">
      <x:c r="A28" s="10" t="n"/>
      <x:c r="B28" s="10" t="n"/>
      <x:c r="C28" s="9">
        <x:f>IF($A28="","",IFERROR(INDEX(Results!$E$6:$E$500,MATCH($A28,Results!$A$6:$A$500,0)),""))</x:f>
      </x:c>
      <x:c r="D28" s="14">
        <x:f>IF($A28="","",IF(Settings!$B$8="Yes",IF($C28="Yes",SUMIFS(Questionnaire_Answers!$I$6:$I$505,Questionnaire_Answers!$A$6:$A$505,$A28,Questionnaire_Answers!$B$6:$B$505,$B28),0),SUMIFS(Questionnaire_Answers!$I$6:$I$505,Questionnaire_Answers!$A$6:$A$505,$A28,Questionnaire_Answers!$B$6:$B$505,$B28)))</x:f>
      </x:c>
      <x:c r="E28" s="14">
        <x:f>IF($A28="","",SUMIFS(Picks!$H$6:$H$505,Picks!$A$6:$A$505,$A28,Picks!$B$6:$B$505,$B28))</x:f>
      </x:c>
      <x:c r="F28" s="14">
        <x:f>IF($A28="","",IF(Settings!$B$7="Questionnaire",$D28*Settings!$B$15,IF(Settings!$B$7="Picks",$E28*Settings!$B$16,($D28*Settings!$B$15)+($E28*Settings!$B$16))))</x:f>
      </x:c>
    </x:row>
    <x:row r="29">
      <x:c r="A29" s="10" t="n"/>
      <x:c r="B29" s="10" t="n"/>
      <x:c r="C29" s="9">
        <x:f>IF($A29="","",IFERROR(INDEX(Results!$E$6:$E$500,MATCH($A29,Results!$A$6:$A$500,0)),""))</x:f>
      </x:c>
      <x:c r="D29" s="14">
        <x:f>IF($A29="","",IF(Settings!$B$8="Yes",IF($C29="Yes",SUMIFS(Questionnaire_Answers!$I$6:$I$505,Questionnaire_Answers!$A$6:$A$505,$A29,Questionnaire_Answers!$B$6:$B$505,$B29),0),SUMIFS(Questionnaire_Answers!$I$6:$I$505,Questionnaire_Answers!$A$6:$A$505,$A29,Questionnaire_Answers!$B$6:$B$505,$B29)))</x:f>
      </x:c>
      <x:c r="E29" s="14">
        <x:f>IF($A29="","",SUMIFS(Picks!$H$6:$H$505,Picks!$A$6:$A$505,$A29,Picks!$B$6:$B$505,$B29))</x:f>
      </x:c>
      <x:c r="F29" s="14">
        <x:f>IF($A29="","",IF(Settings!$B$7="Questionnaire",$D29*Settings!$B$15,IF(Settings!$B$7="Picks",$E29*Settings!$B$16,($D29*Settings!$B$15)+($E29*Settings!$B$16))))</x:f>
      </x:c>
    </x:row>
    <x:row r="30">
      <x:c r="A30" s="10" t="n"/>
      <x:c r="B30" s="10" t="n"/>
      <x:c r="C30" s="9">
        <x:f>IF($A30="","",IFERROR(INDEX(Results!$E$6:$E$500,MATCH($A30,Results!$A$6:$A$500,0)),""))</x:f>
      </x:c>
      <x:c r="D30" s="14">
        <x:f>IF($A30="","",IF(Settings!$B$8="Yes",IF($C30="Yes",SUMIFS(Questionnaire_Answers!$I$6:$I$505,Questionnaire_Answers!$A$6:$A$505,$A30,Questionnaire_Answers!$B$6:$B$505,$B30),0),SUMIFS(Questionnaire_Answers!$I$6:$I$505,Questionnaire_Answers!$A$6:$A$505,$A30,Questionnaire_Answers!$B$6:$B$505,$B30)))</x:f>
      </x:c>
      <x:c r="E30" s="14">
        <x:f>IF($A30="","",SUMIFS(Picks!$H$6:$H$505,Picks!$A$6:$A$505,$A30,Picks!$B$6:$B$505,$B30))</x:f>
      </x:c>
      <x:c r="F30" s="14">
        <x:f>IF($A30="","",IF(Settings!$B$7="Questionnaire",$D30*Settings!$B$15,IF(Settings!$B$7="Picks",$E30*Settings!$B$16,($D30*Settings!$B$15)+($E30*Settings!$B$16))))</x:f>
      </x:c>
    </x:row>
    <x:row r="31">
      <x:c r="A31" s="10" t="n"/>
      <x:c r="B31" s="10" t="n"/>
      <x:c r="C31" s="9">
        <x:f>IF($A31="","",IFERROR(INDEX(Results!$E$6:$E$500,MATCH($A31,Results!$A$6:$A$500,0)),""))</x:f>
      </x:c>
      <x:c r="D31" s="14">
        <x:f>IF($A31="","",IF(Settings!$B$8="Yes",IF($C31="Yes",SUMIFS(Questionnaire_Answers!$I$6:$I$505,Questionnaire_Answers!$A$6:$A$505,$A31,Questionnaire_Answers!$B$6:$B$505,$B31),0),SUMIFS(Questionnaire_Answers!$I$6:$I$505,Questionnaire_Answers!$A$6:$A$505,$A31,Questionnaire_Answers!$B$6:$B$505,$B31)))</x:f>
      </x:c>
      <x:c r="E31" s="14">
        <x:f>IF($A31="","",SUMIFS(Picks!$H$6:$H$505,Picks!$A$6:$A$505,$A31,Picks!$B$6:$B$505,$B31))</x:f>
      </x:c>
      <x:c r="F31" s="14">
        <x:f>IF($A31="","",IF(Settings!$B$7="Questionnaire",$D31*Settings!$B$15,IF(Settings!$B$7="Picks",$E31*Settings!$B$16,($D31*Settings!$B$15)+($E31*Settings!$B$16))))</x:f>
      </x:c>
    </x:row>
    <x:row r="32">
      <x:c r="A32" s="10" t="n"/>
      <x:c r="B32" s="10" t="n"/>
      <x:c r="C32" s="9">
        <x:f>IF($A32="","",IFERROR(INDEX(Results!$E$6:$E$500,MATCH($A32,Results!$A$6:$A$500,0)),""))</x:f>
      </x:c>
      <x:c r="D32" s="14">
        <x:f>IF($A32="","",IF(Settings!$B$8="Yes",IF($C32="Yes",SUMIFS(Questionnaire_Answers!$I$6:$I$505,Questionnaire_Answers!$A$6:$A$505,$A32,Questionnaire_Answers!$B$6:$B$505,$B32),0),SUMIFS(Questionnaire_Answers!$I$6:$I$505,Questionnaire_Answers!$A$6:$A$505,$A32,Questionnaire_Answers!$B$6:$B$505,$B32)))</x:f>
      </x:c>
      <x:c r="E32" s="14">
        <x:f>IF($A32="","",SUMIFS(Picks!$H$6:$H$505,Picks!$A$6:$A$505,$A32,Picks!$B$6:$B$505,$B32))</x:f>
      </x:c>
      <x:c r="F32" s="14">
        <x:f>IF($A32="","",IF(Settings!$B$7="Questionnaire",$D32*Settings!$B$15,IF(Settings!$B$7="Picks",$E32*Settings!$B$16,($D32*Settings!$B$15)+($E32*Settings!$B$16))))</x:f>
      </x:c>
    </x:row>
    <x:row r="33">
      <x:c r="A33" s="10" t="n"/>
      <x:c r="B33" s="10" t="n"/>
      <x:c r="C33" s="9">
        <x:f>IF($A33="","",IFERROR(INDEX(Results!$E$6:$E$500,MATCH($A33,Results!$A$6:$A$500,0)),""))</x:f>
      </x:c>
      <x:c r="D33" s="14">
        <x:f>IF($A33="","",IF(Settings!$B$8="Yes",IF($C33="Yes",SUMIFS(Questionnaire_Answers!$I$6:$I$505,Questionnaire_Answers!$A$6:$A$505,$A33,Questionnaire_Answers!$B$6:$B$505,$B33),0),SUMIFS(Questionnaire_Answers!$I$6:$I$505,Questionnaire_Answers!$A$6:$A$505,$A33,Questionnaire_Answers!$B$6:$B$505,$B33)))</x:f>
      </x:c>
      <x:c r="E33" s="14">
        <x:f>IF($A33="","",SUMIFS(Picks!$H$6:$H$505,Picks!$A$6:$A$505,$A33,Picks!$B$6:$B$505,$B33))</x:f>
      </x:c>
      <x:c r="F33" s="14">
        <x:f>IF($A33="","",IF(Settings!$B$7="Questionnaire",$D33*Settings!$B$15,IF(Settings!$B$7="Picks",$E33*Settings!$B$16,($D33*Settings!$B$15)+($E33*Settings!$B$16))))</x:f>
      </x:c>
    </x:row>
    <x:row r="34">
      <x:c r="A34" s="10" t="n"/>
      <x:c r="B34" s="10" t="n"/>
      <x:c r="C34" s="9">
        <x:f>IF($A34="","",IFERROR(INDEX(Results!$E$6:$E$500,MATCH($A34,Results!$A$6:$A$500,0)),""))</x:f>
      </x:c>
      <x:c r="D34" s="14">
        <x:f>IF($A34="","",IF(Settings!$B$8="Yes",IF($C34="Yes",SUMIFS(Questionnaire_Answers!$I$6:$I$505,Questionnaire_Answers!$A$6:$A$505,$A34,Questionnaire_Answers!$B$6:$B$505,$B34),0),SUMIFS(Questionnaire_Answers!$I$6:$I$505,Questionnaire_Answers!$A$6:$A$505,$A34,Questionnaire_Answers!$B$6:$B$505,$B34)))</x:f>
      </x:c>
      <x:c r="E34" s="14">
        <x:f>IF($A34="","",SUMIFS(Picks!$H$6:$H$505,Picks!$A$6:$A$505,$A34,Picks!$B$6:$B$505,$B34))</x:f>
      </x:c>
      <x:c r="F34" s="14">
        <x:f>IF($A34="","",IF(Settings!$B$7="Questionnaire",$D34*Settings!$B$15,IF(Settings!$B$7="Picks",$E34*Settings!$B$16,($D34*Settings!$B$15)+($E34*Settings!$B$16))))</x:f>
      </x:c>
    </x:row>
    <x:row r="35">
      <x:c r="A35" s="10" t="n"/>
      <x:c r="B35" s="10" t="n"/>
      <x:c r="C35" s="9">
        <x:f>IF($A35="","",IFERROR(INDEX(Results!$E$6:$E$500,MATCH($A35,Results!$A$6:$A$500,0)),""))</x:f>
      </x:c>
      <x:c r="D35" s="14">
        <x:f>IF($A35="","",IF(Settings!$B$8="Yes",IF($C35="Yes",SUMIFS(Questionnaire_Answers!$I$6:$I$505,Questionnaire_Answers!$A$6:$A$505,$A35,Questionnaire_Answers!$B$6:$B$505,$B35),0),SUMIFS(Questionnaire_Answers!$I$6:$I$505,Questionnaire_Answers!$A$6:$A$505,$A35,Questionnaire_Answers!$B$6:$B$505,$B35)))</x:f>
      </x:c>
      <x:c r="E35" s="14">
        <x:f>IF($A35="","",SUMIFS(Picks!$H$6:$H$505,Picks!$A$6:$A$505,$A35,Picks!$B$6:$B$505,$B35))</x:f>
      </x:c>
      <x:c r="F35" s="14">
        <x:f>IF($A35="","",IF(Settings!$B$7="Questionnaire",$D35*Settings!$B$15,IF(Settings!$B$7="Picks",$E35*Settings!$B$16,($D35*Settings!$B$15)+($E35*Settings!$B$16))))</x:f>
      </x:c>
    </x:row>
    <x:row r="36">
      <x:c r="A36" s="10" t="n"/>
      <x:c r="B36" s="10" t="n"/>
      <x:c r="C36" s="9">
        <x:f>IF($A36="","",IFERROR(INDEX(Results!$E$6:$E$500,MATCH($A36,Results!$A$6:$A$500,0)),""))</x:f>
      </x:c>
      <x:c r="D36" s="14">
        <x:f>IF($A36="","",IF(Settings!$B$8="Yes",IF($C36="Yes",SUMIFS(Questionnaire_Answers!$I$6:$I$505,Questionnaire_Answers!$A$6:$A$505,$A36,Questionnaire_Answers!$B$6:$B$505,$B36),0),SUMIFS(Questionnaire_Answers!$I$6:$I$505,Questionnaire_Answers!$A$6:$A$505,$A36,Questionnaire_Answers!$B$6:$B$505,$B36)))</x:f>
      </x:c>
      <x:c r="E36" s="14">
        <x:f>IF($A36="","",SUMIFS(Picks!$H$6:$H$505,Picks!$A$6:$A$505,$A36,Picks!$B$6:$B$505,$B36))</x:f>
      </x:c>
      <x:c r="F36" s="14">
        <x:f>IF($A36="","",IF(Settings!$B$7="Questionnaire",$D36*Settings!$B$15,IF(Settings!$B$7="Picks",$E36*Settings!$B$16,($D36*Settings!$B$15)+($E36*Settings!$B$16))))</x:f>
      </x:c>
    </x:row>
    <x:row r="37">
      <x:c r="A37" s="10" t="n"/>
      <x:c r="B37" s="10" t="n"/>
      <x:c r="C37" s="9">
        <x:f>IF($A37="","",IFERROR(INDEX(Results!$E$6:$E$500,MATCH($A37,Results!$A$6:$A$500,0)),""))</x:f>
      </x:c>
      <x:c r="D37" s="14">
        <x:f>IF($A37="","",IF(Settings!$B$8="Yes",IF($C37="Yes",SUMIFS(Questionnaire_Answers!$I$6:$I$505,Questionnaire_Answers!$A$6:$A$505,$A37,Questionnaire_Answers!$B$6:$B$505,$B37),0),SUMIFS(Questionnaire_Answers!$I$6:$I$505,Questionnaire_Answers!$A$6:$A$505,$A37,Questionnaire_Answers!$B$6:$B$505,$B37)))</x:f>
      </x:c>
      <x:c r="E37" s="14">
        <x:f>IF($A37="","",SUMIFS(Picks!$H$6:$H$505,Picks!$A$6:$A$505,$A37,Picks!$B$6:$B$505,$B37))</x:f>
      </x:c>
      <x:c r="F37" s="14">
        <x:f>IF($A37="","",IF(Settings!$B$7="Questionnaire",$D37*Settings!$B$15,IF(Settings!$B$7="Picks",$E37*Settings!$B$16,($D37*Settings!$B$15)+($E37*Settings!$B$16))))</x:f>
      </x:c>
    </x:row>
    <x:row r="38">
      <x:c r="A38" s="10" t="n"/>
      <x:c r="B38" s="10" t="n"/>
      <x:c r="C38" s="9">
        <x:f>IF($A38="","",IFERROR(INDEX(Results!$E$6:$E$500,MATCH($A38,Results!$A$6:$A$500,0)),""))</x:f>
      </x:c>
      <x:c r="D38" s="14">
        <x:f>IF($A38="","",IF(Settings!$B$8="Yes",IF($C38="Yes",SUMIFS(Questionnaire_Answers!$I$6:$I$505,Questionnaire_Answers!$A$6:$A$505,$A38,Questionnaire_Answers!$B$6:$B$505,$B38),0),SUMIFS(Questionnaire_Answers!$I$6:$I$505,Questionnaire_Answers!$A$6:$A$505,$A38,Questionnaire_Answers!$B$6:$B$505,$B38)))</x:f>
      </x:c>
      <x:c r="E38" s="14">
        <x:f>IF($A38="","",SUMIFS(Picks!$H$6:$H$505,Picks!$A$6:$A$505,$A38,Picks!$B$6:$B$505,$B38))</x:f>
      </x:c>
      <x:c r="F38" s="14">
        <x:f>IF($A38="","",IF(Settings!$B$7="Questionnaire",$D38*Settings!$B$15,IF(Settings!$B$7="Picks",$E38*Settings!$B$16,($D38*Settings!$B$15)+($E38*Settings!$B$16))))</x:f>
      </x:c>
    </x:row>
    <x:row r="39">
      <x:c r="A39" s="10" t="n"/>
      <x:c r="B39" s="10" t="n"/>
      <x:c r="C39" s="9">
        <x:f>IF($A39="","",IFERROR(INDEX(Results!$E$6:$E$500,MATCH($A39,Results!$A$6:$A$500,0)),""))</x:f>
      </x:c>
      <x:c r="D39" s="14">
        <x:f>IF($A39="","",IF(Settings!$B$8="Yes",IF($C39="Yes",SUMIFS(Questionnaire_Answers!$I$6:$I$505,Questionnaire_Answers!$A$6:$A$505,$A39,Questionnaire_Answers!$B$6:$B$505,$B39),0),SUMIFS(Questionnaire_Answers!$I$6:$I$505,Questionnaire_Answers!$A$6:$A$505,$A39,Questionnaire_Answers!$B$6:$B$505,$B39)))</x:f>
      </x:c>
      <x:c r="E39" s="14">
        <x:f>IF($A39="","",SUMIFS(Picks!$H$6:$H$505,Picks!$A$6:$A$505,$A39,Picks!$B$6:$B$505,$B39))</x:f>
      </x:c>
      <x:c r="F39" s="14">
        <x:f>IF($A39="","",IF(Settings!$B$7="Questionnaire",$D39*Settings!$B$15,IF(Settings!$B$7="Picks",$E39*Settings!$B$16,($D39*Settings!$B$15)+($E39*Settings!$B$16))))</x:f>
      </x:c>
    </x:row>
    <x:row r="40">
      <x:c r="A40" s="10" t="n"/>
      <x:c r="B40" s="10" t="n"/>
      <x:c r="C40" s="9">
        <x:f>IF($A40="","",IFERROR(INDEX(Results!$E$6:$E$500,MATCH($A40,Results!$A$6:$A$500,0)),""))</x:f>
      </x:c>
      <x:c r="D40" s="14">
        <x:f>IF($A40="","",IF(Settings!$B$8="Yes",IF($C40="Yes",SUMIFS(Questionnaire_Answers!$I$6:$I$505,Questionnaire_Answers!$A$6:$A$505,$A40,Questionnaire_Answers!$B$6:$B$505,$B40),0),SUMIFS(Questionnaire_Answers!$I$6:$I$505,Questionnaire_Answers!$A$6:$A$505,$A40,Questionnaire_Answers!$B$6:$B$505,$B40)))</x:f>
      </x:c>
      <x:c r="E40" s="14">
        <x:f>IF($A40="","",SUMIFS(Picks!$H$6:$H$505,Picks!$A$6:$A$505,$A40,Picks!$B$6:$B$505,$B40))</x:f>
      </x:c>
      <x:c r="F40" s="14">
        <x:f>IF($A40="","",IF(Settings!$B$7="Questionnaire",$D40*Settings!$B$15,IF(Settings!$B$7="Picks",$E40*Settings!$B$16,($D40*Settings!$B$15)+($E40*Settings!$B$16))))</x:f>
      </x:c>
    </x:row>
    <x:row r="41">
      <x:c r="A41" s="10" t="n"/>
      <x:c r="B41" s="10" t="n"/>
      <x:c r="C41" s="9">
        <x:f>IF($A41="","",IFERROR(INDEX(Results!$E$6:$E$500,MATCH($A41,Results!$A$6:$A$500,0)),""))</x:f>
      </x:c>
      <x:c r="D41" s="14">
        <x:f>IF($A41="","",IF(Settings!$B$8="Yes",IF($C41="Yes",SUMIFS(Questionnaire_Answers!$I$6:$I$505,Questionnaire_Answers!$A$6:$A$505,$A41,Questionnaire_Answers!$B$6:$B$505,$B41),0),SUMIFS(Questionnaire_Answers!$I$6:$I$505,Questionnaire_Answers!$A$6:$A$505,$A41,Questionnaire_Answers!$B$6:$B$505,$B41)))</x:f>
      </x:c>
      <x:c r="E41" s="14">
        <x:f>IF($A41="","",SUMIFS(Picks!$H$6:$H$505,Picks!$A$6:$A$505,$A41,Picks!$B$6:$B$505,$B41))</x:f>
      </x:c>
      <x:c r="F41" s="14">
        <x:f>IF($A41="","",IF(Settings!$B$7="Questionnaire",$D41*Settings!$B$15,IF(Settings!$B$7="Picks",$E41*Settings!$B$16,($D41*Settings!$B$15)+($E41*Settings!$B$16))))</x:f>
      </x:c>
    </x:row>
    <x:row r="42">
      <x:c r="A42" s="10" t="n"/>
      <x:c r="B42" s="10" t="n"/>
      <x:c r="C42" s="9">
        <x:f>IF($A42="","",IFERROR(INDEX(Results!$E$6:$E$500,MATCH($A42,Results!$A$6:$A$500,0)),""))</x:f>
      </x:c>
      <x:c r="D42" s="14">
        <x:f>IF($A42="","",IF(Settings!$B$8="Yes",IF($C42="Yes",SUMIFS(Questionnaire_Answers!$I$6:$I$505,Questionnaire_Answers!$A$6:$A$505,$A42,Questionnaire_Answers!$B$6:$B$505,$B42),0),SUMIFS(Questionnaire_Answers!$I$6:$I$505,Questionnaire_Answers!$A$6:$A$505,$A42,Questionnaire_Answers!$B$6:$B$505,$B42)))</x:f>
      </x:c>
      <x:c r="E42" s="14">
        <x:f>IF($A42="","",SUMIFS(Picks!$H$6:$H$505,Picks!$A$6:$A$505,$A42,Picks!$B$6:$B$505,$B42))</x:f>
      </x:c>
      <x:c r="F42" s="14">
        <x:f>IF($A42="","",IF(Settings!$B$7="Questionnaire",$D42*Settings!$B$15,IF(Settings!$B$7="Picks",$E42*Settings!$B$16,($D42*Settings!$B$15)+($E42*Settings!$B$16))))</x:f>
      </x:c>
    </x:row>
    <x:row r="43">
      <x:c r="A43" s="10" t="n"/>
      <x:c r="B43" s="10" t="n"/>
      <x:c r="C43" s="9">
        <x:f>IF($A43="","",IFERROR(INDEX(Results!$E$6:$E$500,MATCH($A43,Results!$A$6:$A$500,0)),""))</x:f>
      </x:c>
      <x:c r="D43" s="14">
        <x:f>IF($A43="","",IF(Settings!$B$8="Yes",IF($C43="Yes",SUMIFS(Questionnaire_Answers!$I$6:$I$505,Questionnaire_Answers!$A$6:$A$505,$A43,Questionnaire_Answers!$B$6:$B$505,$B43),0),SUMIFS(Questionnaire_Answers!$I$6:$I$505,Questionnaire_Answers!$A$6:$A$505,$A43,Questionnaire_Answers!$B$6:$B$505,$B43)))</x:f>
      </x:c>
      <x:c r="E43" s="14">
        <x:f>IF($A43="","",SUMIFS(Picks!$H$6:$H$505,Picks!$A$6:$A$505,$A43,Picks!$B$6:$B$505,$B43))</x:f>
      </x:c>
      <x:c r="F43" s="14">
        <x:f>IF($A43="","",IF(Settings!$B$7="Questionnaire",$D43*Settings!$B$15,IF(Settings!$B$7="Picks",$E43*Settings!$B$16,($D43*Settings!$B$15)+($E43*Settings!$B$16))))</x:f>
      </x:c>
    </x:row>
    <x:row r="44">
      <x:c r="A44" s="10" t="n"/>
      <x:c r="B44" s="10" t="n"/>
      <x:c r="C44" s="9">
        <x:f>IF($A44="","",IFERROR(INDEX(Results!$E$6:$E$500,MATCH($A44,Results!$A$6:$A$500,0)),""))</x:f>
      </x:c>
      <x:c r="D44" s="14">
        <x:f>IF($A44="","",IF(Settings!$B$8="Yes",IF($C44="Yes",SUMIFS(Questionnaire_Answers!$I$6:$I$505,Questionnaire_Answers!$A$6:$A$505,$A44,Questionnaire_Answers!$B$6:$B$505,$B44),0),SUMIFS(Questionnaire_Answers!$I$6:$I$505,Questionnaire_Answers!$A$6:$A$505,$A44,Questionnaire_Answers!$B$6:$B$505,$B44)))</x:f>
      </x:c>
      <x:c r="E44" s="14">
        <x:f>IF($A44="","",SUMIFS(Picks!$H$6:$H$505,Picks!$A$6:$A$505,$A44,Picks!$B$6:$B$505,$B44))</x:f>
      </x:c>
      <x:c r="F44" s="14">
        <x:f>IF($A44="","",IF(Settings!$B$7="Questionnaire",$D44*Settings!$B$15,IF(Settings!$B$7="Picks",$E44*Settings!$B$16,($D44*Settings!$B$15)+($E44*Settings!$B$16))))</x:f>
      </x:c>
    </x:row>
    <x:row r="45">
      <x:c r="A45" s="10" t="n"/>
      <x:c r="B45" s="10" t="n"/>
      <x:c r="C45" s="9">
        <x:f>IF($A45="","",IFERROR(INDEX(Results!$E$6:$E$500,MATCH($A45,Results!$A$6:$A$500,0)),""))</x:f>
      </x:c>
      <x:c r="D45" s="14">
        <x:f>IF($A45="","",IF(Settings!$B$8="Yes",IF($C45="Yes",SUMIFS(Questionnaire_Answers!$I$6:$I$505,Questionnaire_Answers!$A$6:$A$505,$A45,Questionnaire_Answers!$B$6:$B$505,$B45),0),SUMIFS(Questionnaire_Answers!$I$6:$I$505,Questionnaire_Answers!$A$6:$A$505,$A45,Questionnaire_Answers!$B$6:$B$505,$B45)))</x:f>
      </x:c>
      <x:c r="E45" s="14">
        <x:f>IF($A45="","",SUMIFS(Picks!$H$6:$H$505,Picks!$A$6:$A$505,$A45,Picks!$B$6:$B$505,$B45))</x:f>
      </x:c>
      <x:c r="F45" s="14">
        <x:f>IF($A45="","",IF(Settings!$B$7="Questionnaire",$D45*Settings!$B$15,IF(Settings!$B$7="Picks",$E45*Settings!$B$16,($D45*Settings!$B$15)+($E45*Settings!$B$16))))</x:f>
      </x:c>
    </x:row>
    <x:row r="46">
      <x:c r="A46" s="10" t="n"/>
      <x:c r="B46" s="10" t="n"/>
      <x:c r="C46" s="9">
        <x:f>IF($A46="","",IFERROR(INDEX(Results!$E$6:$E$500,MATCH($A46,Results!$A$6:$A$500,0)),""))</x:f>
      </x:c>
      <x:c r="D46" s="14">
        <x:f>IF($A46="","",IF(Settings!$B$8="Yes",IF($C46="Yes",SUMIFS(Questionnaire_Answers!$I$6:$I$505,Questionnaire_Answers!$A$6:$A$505,$A46,Questionnaire_Answers!$B$6:$B$505,$B46),0),SUMIFS(Questionnaire_Answers!$I$6:$I$505,Questionnaire_Answers!$A$6:$A$505,$A46,Questionnaire_Answers!$B$6:$B$505,$B46)))</x:f>
      </x:c>
      <x:c r="E46" s="14">
        <x:f>IF($A46="","",SUMIFS(Picks!$H$6:$H$505,Picks!$A$6:$A$505,$A46,Picks!$B$6:$B$505,$B46))</x:f>
      </x:c>
      <x:c r="F46" s="14">
        <x:f>IF($A46="","",IF(Settings!$B$7="Questionnaire",$D46*Settings!$B$15,IF(Settings!$B$7="Picks",$E46*Settings!$B$16,($D46*Settings!$B$15)+($E46*Settings!$B$16))))</x:f>
      </x:c>
    </x:row>
    <x:row r="47">
      <x:c r="A47" s="10" t="n"/>
      <x:c r="B47" s="10" t="n"/>
      <x:c r="C47" s="9">
        <x:f>IF($A47="","",IFERROR(INDEX(Results!$E$6:$E$500,MATCH($A47,Results!$A$6:$A$500,0)),""))</x:f>
      </x:c>
      <x:c r="D47" s="14">
        <x:f>IF($A47="","",IF(Settings!$B$8="Yes",IF($C47="Yes",SUMIFS(Questionnaire_Answers!$I$6:$I$505,Questionnaire_Answers!$A$6:$A$505,$A47,Questionnaire_Answers!$B$6:$B$505,$B47),0),SUMIFS(Questionnaire_Answers!$I$6:$I$505,Questionnaire_Answers!$A$6:$A$505,$A47,Questionnaire_Answers!$B$6:$B$505,$B47)))</x:f>
      </x:c>
      <x:c r="E47" s="14">
        <x:f>IF($A47="","",SUMIFS(Picks!$H$6:$H$505,Picks!$A$6:$A$505,$A47,Picks!$B$6:$B$505,$B47))</x:f>
      </x:c>
      <x:c r="F47" s="14">
        <x:f>IF($A47="","",IF(Settings!$B$7="Questionnaire",$D47*Settings!$B$15,IF(Settings!$B$7="Picks",$E47*Settings!$B$16,($D47*Settings!$B$15)+($E47*Settings!$B$16))))</x:f>
      </x:c>
    </x:row>
    <x:row r="48">
      <x:c r="A48" s="10" t="n"/>
      <x:c r="B48" s="10" t="n"/>
      <x:c r="C48" s="9">
        <x:f>IF($A48="","",IFERROR(INDEX(Results!$E$6:$E$500,MATCH($A48,Results!$A$6:$A$500,0)),""))</x:f>
      </x:c>
      <x:c r="D48" s="14">
        <x:f>IF($A48="","",IF(Settings!$B$8="Yes",IF($C48="Yes",SUMIFS(Questionnaire_Answers!$I$6:$I$505,Questionnaire_Answers!$A$6:$A$505,$A48,Questionnaire_Answers!$B$6:$B$505,$B48),0),SUMIFS(Questionnaire_Answers!$I$6:$I$505,Questionnaire_Answers!$A$6:$A$505,$A48,Questionnaire_Answers!$B$6:$B$505,$B48)))</x:f>
      </x:c>
      <x:c r="E48" s="14">
        <x:f>IF($A48="","",SUMIFS(Picks!$H$6:$H$505,Picks!$A$6:$A$505,$A48,Picks!$B$6:$B$505,$B48))</x:f>
      </x:c>
      <x:c r="F48" s="14">
        <x:f>IF($A48="","",IF(Settings!$B$7="Questionnaire",$D48*Settings!$B$15,IF(Settings!$B$7="Picks",$E48*Settings!$B$16,($D48*Settings!$B$15)+($E48*Settings!$B$16))))</x:f>
      </x:c>
    </x:row>
    <x:row r="49">
      <x:c r="A49" s="10" t="n"/>
      <x:c r="B49" s="10" t="n"/>
      <x:c r="C49" s="9">
        <x:f>IF($A49="","",IFERROR(INDEX(Results!$E$6:$E$500,MATCH($A49,Results!$A$6:$A$500,0)),""))</x:f>
      </x:c>
      <x:c r="D49" s="14">
        <x:f>IF($A49="","",IF(Settings!$B$8="Yes",IF($C49="Yes",SUMIFS(Questionnaire_Answers!$I$6:$I$505,Questionnaire_Answers!$A$6:$A$505,$A49,Questionnaire_Answers!$B$6:$B$505,$B49),0),SUMIFS(Questionnaire_Answers!$I$6:$I$505,Questionnaire_Answers!$A$6:$A$505,$A49,Questionnaire_Answers!$B$6:$B$505,$B49)))</x:f>
      </x:c>
      <x:c r="E49" s="14">
        <x:f>IF($A49="","",SUMIFS(Picks!$H$6:$H$505,Picks!$A$6:$A$505,$A49,Picks!$B$6:$B$505,$B49))</x:f>
      </x:c>
      <x:c r="F49" s="14">
        <x:f>IF($A49="","",IF(Settings!$B$7="Questionnaire",$D49*Settings!$B$15,IF(Settings!$B$7="Picks",$E49*Settings!$B$16,($D49*Settings!$B$15)+($E49*Settings!$B$16))))</x:f>
      </x:c>
    </x:row>
    <x:row r="50">
      <x:c r="A50" s="10" t="n"/>
      <x:c r="B50" s="10" t="n"/>
      <x:c r="C50" s="9">
        <x:f>IF($A50="","",IFERROR(INDEX(Results!$E$6:$E$500,MATCH($A50,Results!$A$6:$A$500,0)),""))</x:f>
      </x:c>
      <x:c r="D50" s="14">
        <x:f>IF($A50="","",IF(Settings!$B$8="Yes",IF($C50="Yes",SUMIFS(Questionnaire_Answers!$I$6:$I$505,Questionnaire_Answers!$A$6:$A$505,$A50,Questionnaire_Answers!$B$6:$B$505,$B50),0),SUMIFS(Questionnaire_Answers!$I$6:$I$505,Questionnaire_Answers!$A$6:$A$505,$A50,Questionnaire_Answers!$B$6:$B$505,$B50)))</x:f>
      </x:c>
      <x:c r="E50" s="14">
        <x:f>IF($A50="","",SUMIFS(Picks!$H$6:$H$505,Picks!$A$6:$A$505,$A50,Picks!$B$6:$B$505,$B50))</x:f>
      </x:c>
      <x:c r="F50" s="14">
        <x:f>IF($A50="","",IF(Settings!$B$7="Questionnaire",$D50*Settings!$B$15,IF(Settings!$B$7="Picks",$E50*Settings!$B$16,($D50*Settings!$B$15)+($E50*Settings!$B$16))))</x:f>
      </x:c>
    </x:row>
    <x:row r="51">
      <x:c r="A51" s="10" t="n"/>
      <x:c r="B51" s="10" t="n"/>
      <x:c r="C51" s="9">
        <x:f>IF($A51="","",IFERROR(INDEX(Results!$E$6:$E$500,MATCH($A51,Results!$A$6:$A$500,0)),""))</x:f>
      </x:c>
      <x:c r="D51" s="14">
        <x:f>IF($A51="","",IF(Settings!$B$8="Yes",IF($C51="Yes",SUMIFS(Questionnaire_Answers!$I$6:$I$505,Questionnaire_Answers!$A$6:$A$505,$A51,Questionnaire_Answers!$B$6:$B$505,$B51),0),SUMIFS(Questionnaire_Answers!$I$6:$I$505,Questionnaire_Answers!$A$6:$A$505,$A51,Questionnaire_Answers!$B$6:$B$505,$B51)))</x:f>
      </x:c>
      <x:c r="E51" s="14">
        <x:f>IF($A51="","",SUMIFS(Picks!$H$6:$H$505,Picks!$A$6:$A$505,$A51,Picks!$B$6:$B$505,$B51))</x:f>
      </x:c>
      <x:c r="F51" s="14">
        <x:f>IF($A51="","",IF(Settings!$B$7="Questionnaire",$D51*Settings!$B$15,IF(Settings!$B$7="Picks",$E51*Settings!$B$16,($D51*Settings!$B$15)+($E51*Settings!$B$16))))</x:f>
      </x:c>
    </x:row>
    <x:row r="52">
      <x:c r="A52" s="10" t="n"/>
      <x:c r="B52" s="10" t="n"/>
      <x:c r="C52" s="9">
        <x:f>IF($A52="","",IFERROR(INDEX(Results!$E$6:$E$500,MATCH($A52,Results!$A$6:$A$500,0)),""))</x:f>
      </x:c>
      <x:c r="D52" s="14">
        <x:f>IF($A52="","",IF(Settings!$B$8="Yes",IF($C52="Yes",SUMIFS(Questionnaire_Answers!$I$6:$I$505,Questionnaire_Answers!$A$6:$A$505,$A52,Questionnaire_Answers!$B$6:$B$505,$B52),0),SUMIFS(Questionnaire_Answers!$I$6:$I$505,Questionnaire_Answers!$A$6:$A$505,$A52,Questionnaire_Answers!$B$6:$B$505,$B52)))</x:f>
      </x:c>
      <x:c r="E52" s="14">
        <x:f>IF($A52="","",SUMIFS(Picks!$H$6:$H$505,Picks!$A$6:$A$505,$A52,Picks!$B$6:$B$505,$B52))</x:f>
      </x:c>
      <x:c r="F52" s="14">
        <x:f>IF($A52="","",IF(Settings!$B$7="Questionnaire",$D52*Settings!$B$15,IF(Settings!$B$7="Picks",$E52*Settings!$B$16,($D52*Settings!$B$15)+($E52*Settings!$B$16))))</x:f>
      </x:c>
    </x:row>
    <x:row r="53">
      <x:c r="A53" s="10" t="n"/>
      <x:c r="B53" s="10" t="n"/>
      <x:c r="C53" s="9">
        <x:f>IF($A53="","",IFERROR(INDEX(Results!$E$6:$E$500,MATCH($A53,Results!$A$6:$A$500,0)),""))</x:f>
      </x:c>
      <x:c r="D53" s="14">
        <x:f>IF($A53="","",IF(Settings!$B$8="Yes",IF($C53="Yes",SUMIFS(Questionnaire_Answers!$I$6:$I$505,Questionnaire_Answers!$A$6:$A$505,$A53,Questionnaire_Answers!$B$6:$B$505,$B53),0),SUMIFS(Questionnaire_Answers!$I$6:$I$505,Questionnaire_Answers!$A$6:$A$505,$A53,Questionnaire_Answers!$B$6:$B$505,$B53)))</x:f>
      </x:c>
      <x:c r="E53" s="14">
        <x:f>IF($A53="","",SUMIFS(Picks!$H$6:$H$505,Picks!$A$6:$A$505,$A53,Picks!$B$6:$B$505,$B53))</x:f>
      </x:c>
      <x:c r="F53" s="14">
        <x:f>IF($A53="","",IF(Settings!$B$7="Questionnaire",$D53*Settings!$B$15,IF(Settings!$B$7="Picks",$E53*Settings!$B$16,($D53*Settings!$B$15)+($E53*Settings!$B$16))))</x:f>
      </x:c>
    </x:row>
    <x:row r="54">
      <x:c r="A54" s="10" t="n"/>
      <x:c r="B54" s="10" t="n"/>
      <x:c r="C54" s="9">
        <x:f>IF($A54="","",IFERROR(INDEX(Results!$E$6:$E$500,MATCH($A54,Results!$A$6:$A$500,0)),""))</x:f>
      </x:c>
      <x:c r="D54" s="14">
        <x:f>IF($A54="","",IF(Settings!$B$8="Yes",IF($C54="Yes",SUMIFS(Questionnaire_Answers!$I$6:$I$505,Questionnaire_Answers!$A$6:$A$505,$A54,Questionnaire_Answers!$B$6:$B$505,$B54),0),SUMIFS(Questionnaire_Answers!$I$6:$I$505,Questionnaire_Answers!$A$6:$A$505,$A54,Questionnaire_Answers!$B$6:$B$505,$B54)))</x:f>
      </x:c>
      <x:c r="E54" s="14">
        <x:f>IF($A54="","",SUMIFS(Picks!$H$6:$H$505,Picks!$A$6:$A$505,$A54,Picks!$B$6:$B$505,$B54))</x:f>
      </x:c>
      <x:c r="F54" s="14">
        <x:f>IF($A54="","",IF(Settings!$B$7="Questionnaire",$D54*Settings!$B$15,IF(Settings!$B$7="Picks",$E54*Settings!$B$16,($D54*Settings!$B$15)+($E54*Settings!$B$16))))</x:f>
      </x:c>
    </x:row>
    <x:row r="55">
      <x:c r="A55" s="10" t="n"/>
      <x:c r="B55" s="10" t="n"/>
      <x:c r="C55" s="9">
        <x:f>IF($A55="","",IFERROR(INDEX(Results!$E$6:$E$500,MATCH($A55,Results!$A$6:$A$500,0)),""))</x:f>
      </x:c>
      <x:c r="D55" s="14">
        <x:f>IF($A55="","",IF(Settings!$B$8="Yes",IF($C55="Yes",SUMIFS(Questionnaire_Answers!$I$6:$I$505,Questionnaire_Answers!$A$6:$A$505,$A55,Questionnaire_Answers!$B$6:$B$505,$B55),0),SUMIFS(Questionnaire_Answers!$I$6:$I$505,Questionnaire_Answers!$A$6:$A$505,$A55,Questionnaire_Answers!$B$6:$B$505,$B55)))</x:f>
      </x:c>
      <x:c r="E55" s="14">
        <x:f>IF($A55="","",SUMIFS(Picks!$H$6:$H$505,Picks!$A$6:$A$505,$A55,Picks!$B$6:$B$505,$B55))</x:f>
      </x:c>
      <x:c r="F55" s="14">
        <x:f>IF($A55="","",IF(Settings!$B$7="Questionnaire",$D55*Settings!$B$15,IF(Settings!$B$7="Picks",$E55*Settings!$B$16,($D55*Settings!$B$15)+($E55*Settings!$B$16))))</x:f>
      </x:c>
    </x:row>
    <x:row r="56">
      <x:c r="A56" s="10" t="n"/>
      <x:c r="B56" s="10" t="n"/>
      <x:c r="C56" s="9">
        <x:f>IF($A56="","",IFERROR(INDEX(Results!$E$6:$E$500,MATCH($A56,Results!$A$6:$A$500,0)),""))</x:f>
      </x:c>
      <x:c r="D56" s="14">
        <x:f>IF($A56="","",IF(Settings!$B$8="Yes",IF($C56="Yes",SUMIFS(Questionnaire_Answers!$I$6:$I$505,Questionnaire_Answers!$A$6:$A$505,$A56,Questionnaire_Answers!$B$6:$B$505,$B56),0),SUMIFS(Questionnaire_Answers!$I$6:$I$505,Questionnaire_Answers!$A$6:$A$505,$A56,Questionnaire_Answers!$B$6:$B$505,$B56)))</x:f>
      </x:c>
      <x:c r="E56" s="14">
        <x:f>IF($A56="","",SUMIFS(Picks!$H$6:$H$505,Picks!$A$6:$A$505,$A56,Picks!$B$6:$B$505,$B56))</x:f>
      </x:c>
      <x:c r="F56" s="14">
        <x:f>IF($A56="","",IF(Settings!$B$7="Questionnaire",$D56*Settings!$B$15,IF(Settings!$B$7="Picks",$E56*Settings!$B$16,($D56*Settings!$B$15)+($E56*Settings!$B$16))))</x:f>
      </x:c>
    </x:row>
    <x:row r="57">
      <x:c r="A57" s="10" t="n"/>
      <x:c r="B57" s="10" t="n"/>
      <x:c r="C57" s="9">
        <x:f>IF($A57="","",IFERROR(INDEX(Results!$E$6:$E$500,MATCH($A57,Results!$A$6:$A$500,0)),""))</x:f>
      </x:c>
      <x:c r="D57" s="14">
        <x:f>IF($A57="","",IF(Settings!$B$8="Yes",IF($C57="Yes",SUMIFS(Questionnaire_Answers!$I$6:$I$505,Questionnaire_Answers!$A$6:$A$505,$A57,Questionnaire_Answers!$B$6:$B$505,$B57),0),SUMIFS(Questionnaire_Answers!$I$6:$I$505,Questionnaire_Answers!$A$6:$A$505,$A57,Questionnaire_Answers!$B$6:$B$505,$B57)))</x:f>
      </x:c>
      <x:c r="E57" s="14">
        <x:f>IF($A57="","",SUMIFS(Picks!$H$6:$H$505,Picks!$A$6:$A$505,$A57,Picks!$B$6:$B$505,$B57))</x:f>
      </x:c>
      <x:c r="F57" s="14">
        <x:f>IF($A57="","",IF(Settings!$B$7="Questionnaire",$D57*Settings!$B$15,IF(Settings!$B$7="Picks",$E57*Settings!$B$16,($D57*Settings!$B$15)+($E57*Settings!$B$16))))</x:f>
      </x:c>
    </x:row>
    <x:row r="58">
      <x:c r="A58" s="10" t="n"/>
      <x:c r="B58" s="10" t="n"/>
      <x:c r="C58" s="9">
        <x:f>IF($A58="","",IFERROR(INDEX(Results!$E$6:$E$500,MATCH($A58,Results!$A$6:$A$500,0)),""))</x:f>
      </x:c>
      <x:c r="D58" s="14">
        <x:f>IF($A58="","",IF(Settings!$B$8="Yes",IF($C58="Yes",SUMIFS(Questionnaire_Answers!$I$6:$I$505,Questionnaire_Answers!$A$6:$A$505,$A58,Questionnaire_Answers!$B$6:$B$505,$B58),0),SUMIFS(Questionnaire_Answers!$I$6:$I$505,Questionnaire_Answers!$A$6:$A$505,$A58,Questionnaire_Answers!$B$6:$B$505,$B58)))</x:f>
      </x:c>
      <x:c r="E58" s="14">
        <x:f>IF($A58="","",SUMIFS(Picks!$H$6:$H$505,Picks!$A$6:$A$505,$A58,Picks!$B$6:$B$505,$B58))</x:f>
      </x:c>
      <x:c r="F58" s="14">
        <x:f>IF($A58="","",IF(Settings!$B$7="Questionnaire",$D58*Settings!$B$15,IF(Settings!$B$7="Picks",$E58*Settings!$B$16,($D58*Settings!$B$15)+($E58*Settings!$B$16))))</x:f>
      </x:c>
    </x:row>
    <x:row r="59">
      <x:c r="A59" s="10" t="n"/>
      <x:c r="B59" s="10" t="n"/>
      <x:c r="C59" s="9">
        <x:f>IF($A59="","",IFERROR(INDEX(Results!$E$6:$E$500,MATCH($A59,Results!$A$6:$A$500,0)),""))</x:f>
      </x:c>
      <x:c r="D59" s="14">
        <x:f>IF($A59="","",IF(Settings!$B$8="Yes",IF($C59="Yes",SUMIFS(Questionnaire_Answers!$I$6:$I$505,Questionnaire_Answers!$A$6:$A$505,$A59,Questionnaire_Answers!$B$6:$B$505,$B59),0),SUMIFS(Questionnaire_Answers!$I$6:$I$505,Questionnaire_Answers!$A$6:$A$505,$A59,Questionnaire_Answers!$B$6:$B$505,$B59)))</x:f>
      </x:c>
      <x:c r="E59" s="14">
        <x:f>IF($A59="","",SUMIFS(Picks!$H$6:$H$505,Picks!$A$6:$A$505,$A59,Picks!$B$6:$B$505,$B59))</x:f>
      </x:c>
      <x:c r="F59" s="14">
        <x:f>IF($A59="","",IF(Settings!$B$7="Questionnaire",$D59*Settings!$B$15,IF(Settings!$B$7="Picks",$E59*Settings!$B$16,($D59*Settings!$B$15)+($E59*Settings!$B$16))))</x:f>
      </x:c>
    </x:row>
    <x:row r="60">
      <x:c r="A60" s="10" t="n"/>
      <x:c r="B60" s="10" t="n"/>
      <x:c r="C60" s="9">
        <x:f>IF($A60="","",IFERROR(INDEX(Results!$E$6:$E$500,MATCH($A60,Results!$A$6:$A$500,0)),""))</x:f>
      </x:c>
      <x:c r="D60" s="14">
        <x:f>IF($A60="","",IF(Settings!$B$8="Yes",IF($C60="Yes",SUMIFS(Questionnaire_Answers!$I$6:$I$505,Questionnaire_Answers!$A$6:$A$505,$A60,Questionnaire_Answers!$B$6:$B$505,$B60),0),SUMIFS(Questionnaire_Answers!$I$6:$I$505,Questionnaire_Answers!$A$6:$A$505,$A60,Questionnaire_Answers!$B$6:$B$505,$B60)))</x:f>
      </x:c>
      <x:c r="E60" s="14">
        <x:f>IF($A60="","",SUMIFS(Picks!$H$6:$H$505,Picks!$A$6:$A$505,$A60,Picks!$B$6:$B$505,$B60))</x:f>
      </x:c>
      <x:c r="F60" s="14">
        <x:f>IF($A60="","",IF(Settings!$B$7="Questionnaire",$D60*Settings!$B$15,IF(Settings!$B$7="Picks",$E60*Settings!$B$16,($D60*Settings!$B$15)+($E60*Settings!$B$16))))</x:f>
      </x:c>
    </x:row>
    <x:row r="61">
      <x:c r="A61" s="10" t="n"/>
      <x:c r="B61" s="10" t="n"/>
      <x:c r="C61" s="9">
        <x:f>IF($A61="","",IFERROR(INDEX(Results!$E$6:$E$500,MATCH($A61,Results!$A$6:$A$500,0)),""))</x:f>
      </x:c>
      <x:c r="D61" s="14">
        <x:f>IF($A61="","",IF(Settings!$B$8="Yes",IF($C61="Yes",SUMIFS(Questionnaire_Answers!$I$6:$I$505,Questionnaire_Answers!$A$6:$A$505,$A61,Questionnaire_Answers!$B$6:$B$505,$B61),0),SUMIFS(Questionnaire_Answers!$I$6:$I$505,Questionnaire_Answers!$A$6:$A$505,$A61,Questionnaire_Answers!$B$6:$B$505,$B61)))</x:f>
      </x:c>
      <x:c r="E61" s="14">
        <x:f>IF($A61="","",SUMIFS(Picks!$H$6:$H$505,Picks!$A$6:$A$505,$A61,Picks!$B$6:$B$505,$B61))</x:f>
      </x:c>
      <x:c r="F61" s="14">
        <x:f>IF($A61="","",IF(Settings!$B$7="Questionnaire",$D61*Settings!$B$15,IF(Settings!$B$7="Picks",$E61*Settings!$B$16,($D61*Settings!$B$15)+($E61*Settings!$B$16))))</x:f>
      </x:c>
    </x:row>
    <x:row r="62">
      <x:c r="A62" s="10" t="n"/>
      <x:c r="B62" s="10" t="n"/>
      <x:c r="C62" s="9">
        <x:f>IF($A62="","",IFERROR(INDEX(Results!$E$6:$E$500,MATCH($A62,Results!$A$6:$A$500,0)),""))</x:f>
      </x:c>
      <x:c r="D62" s="14">
        <x:f>IF($A62="","",IF(Settings!$B$8="Yes",IF($C62="Yes",SUMIFS(Questionnaire_Answers!$I$6:$I$505,Questionnaire_Answers!$A$6:$A$505,$A62,Questionnaire_Answers!$B$6:$B$505,$B62),0),SUMIFS(Questionnaire_Answers!$I$6:$I$505,Questionnaire_Answers!$A$6:$A$505,$A62,Questionnaire_Answers!$B$6:$B$505,$B62)))</x:f>
      </x:c>
      <x:c r="E62" s="14">
        <x:f>IF($A62="","",SUMIFS(Picks!$H$6:$H$505,Picks!$A$6:$A$505,$A62,Picks!$B$6:$B$505,$B62))</x:f>
      </x:c>
      <x:c r="F62" s="14">
        <x:f>IF($A62="","",IF(Settings!$B$7="Questionnaire",$D62*Settings!$B$15,IF(Settings!$B$7="Picks",$E62*Settings!$B$16,($D62*Settings!$B$15)+($E62*Settings!$B$16))))</x:f>
      </x:c>
    </x:row>
    <x:row r="63">
      <x:c r="A63" s="10" t="n"/>
      <x:c r="B63" s="10" t="n"/>
      <x:c r="C63" s="9">
        <x:f>IF($A63="","",IFERROR(INDEX(Results!$E$6:$E$500,MATCH($A63,Results!$A$6:$A$500,0)),""))</x:f>
      </x:c>
      <x:c r="D63" s="14">
        <x:f>IF($A63="","",IF(Settings!$B$8="Yes",IF($C63="Yes",SUMIFS(Questionnaire_Answers!$I$6:$I$505,Questionnaire_Answers!$A$6:$A$505,$A63,Questionnaire_Answers!$B$6:$B$505,$B63),0),SUMIFS(Questionnaire_Answers!$I$6:$I$505,Questionnaire_Answers!$A$6:$A$505,$A63,Questionnaire_Answers!$B$6:$B$505,$B63)))</x:f>
      </x:c>
      <x:c r="E63" s="14">
        <x:f>IF($A63="","",SUMIFS(Picks!$H$6:$H$505,Picks!$A$6:$A$505,$A63,Picks!$B$6:$B$505,$B63))</x:f>
      </x:c>
      <x:c r="F63" s="14">
        <x:f>IF($A63="","",IF(Settings!$B$7="Questionnaire",$D63*Settings!$B$15,IF(Settings!$B$7="Picks",$E63*Settings!$B$16,($D63*Settings!$B$15)+($E63*Settings!$B$16))))</x:f>
      </x:c>
    </x:row>
    <x:row r="64">
      <x:c r="A64" s="10" t="n"/>
      <x:c r="B64" s="10" t="n"/>
      <x:c r="C64" s="9">
        <x:f>IF($A64="","",IFERROR(INDEX(Results!$E$6:$E$500,MATCH($A64,Results!$A$6:$A$500,0)),""))</x:f>
      </x:c>
      <x:c r="D64" s="14">
        <x:f>IF($A64="","",IF(Settings!$B$8="Yes",IF($C64="Yes",SUMIFS(Questionnaire_Answers!$I$6:$I$505,Questionnaire_Answers!$A$6:$A$505,$A64,Questionnaire_Answers!$B$6:$B$505,$B64),0),SUMIFS(Questionnaire_Answers!$I$6:$I$505,Questionnaire_Answers!$A$6:$A$505,$A64,Questionnaire_Answers!$B$6:$B$505,$B64)))</x:f>
      </x:c>
      <x:c r="E64" s="14">
        <x:f>IF($A64="","",SUMIFS(Picks!$H$6:$H$505,Picks!$A$6:$A$505,$A64,Picks!$B$6:$B$505,$B64))</x:f>
      </x:c>
      <x:c r="F64" s="14">
        <x:f>IF($A64="","",IF(Settings!$B$7="Questionnaire",$D64*Settings!$B$15,IF(Settings!$B$7="Picks",$E64*Settings!$B$16,($D64*Settings!$B$15)+($E64*Settings!$B$16))))</x:f>
      </x:c>
    </x:row>
    <x:row r="65">
      <x:c r="A65" s="10" t="n"/>
      <x:c r="B65" s="10" t="n"/>
      <x:c r="C65" s="9">
        <x:f>IF($A65="","",IFERROR(INDEX(Results!$E$6:$E$500,MATCH($A65,Results!$A$6:$A$500,0)),""))</x:f>
      </x:c>
      <x:c r="D65" s="14">
        <x:f>IF($A65="","",IF(Settings!$B$8="Yes",IF($C65="Yes",SUMIFS(Questionnaire_Answers!$I$6:$I$505,Questionnaire_Answers!$A$6:$A$505,$A65,Questionnaire_Answers!$B$6:$B$505,$B65),0),SUMIFS(Questionnaire_Answers!$I$6:$I$505,Questionnaire_Answers!$A$6:$A$505,$A65,Questionnaire_Answers!$B$6:$B$505,$B65)))</x:f>
      </x:c>
      <x:c r="E65" s="14">
        <x:f>IF($A65="","",SUMIFS(Picks!$H$6:$H$505,Picks!$A$6:$A$505,$A65,Picks!$B$6:$B$505,$B65))</x:f>
      </x:c>
      <x:c r="F65" s="14">
        <x:f>IF($A65="","",IF(Settings!$B$7="Questionnaire",$D65*Settings!$B$15,IF(Settings!$B$7="Picks",$E65*Settings!$B$16,($D65*Settings!$B$15)+($E65*Settings!$B$16))))</x:f>
      </x:c>
    </x:row>
    <x:row r="66">
      <x:c r="A66" s="10" t="n"/>
      <x:c r="B66" s="10" t="n"/>
      <x:c r="C66" s="9">
        <x:f>IF($A66="","",IFERROR(INDEX(Results!$E$6:$E$500,MATCH($A66,Results!$A$6:$A$500,0)),""))</x:f>
      </x:c>
      <x:c r="D66" s="14">
        <x:f>IF($A66="","",IF(Settings!$B$8="Yes",IF($C66="Yes",SUMIFS(Questionnaire_Answers!$I$6:$I$505,Questionnaire_Answers!$A$6:$A$505,$A66,Questionnaire_Answers!$B$6:$B$505,$B66),0),SUMIFS(Questionnaire_Answers!$I$6:$I$505,Questionnaire_Answers!$A$6:$A$505,$A66,Questionnaire_Answers!$B$6:$B$505,$B66)))</x:f>
      </x:c>
      <x:c r="E66" s="14">
        <x:f>IF($A66="","",SUMIFS(Picks!$H$6:$H$505,Picks!$A$6:$A$505,$A66,Picks!$B$6:$B$505,$B66))</x:f>
      </x:c>
      <x:c r="F66" s="14">
        <x:f>IF($A66="","",IF(Settings!$B$7="Questionnaire",$D66*Settings!$B$15,IF(Settings!$B$7="Picks",$E66*Settings!$B$16,($D66*Settings!$B$15)+($E66*Settings!$B$16))))</x:f>
      </x:c>
    </x:row>
    <x:row r="67">
      <x:c r="A67" s="10" t="n"/>
      <x:c r="B67" s="10" t="n"/>
      <x:c r="C67" s="9">
        <x:f>IF($A67="","",IFERROR(INDEX(Results!$E$6:$E$500,MATCH($A67,Results!$A$6:$A$500,0)),""))</x:f>
      </x:c>
      <x:c r="D67" s="14">
        <x:f>IF($A67="","",IF(Settings!$B$8="Yes",IF($C67="Yes",SUMIFS(Questionnaire_Answers!$I$6:$I$505,Questionnaire_Answers!$A$6:$A$505,$A67,Questionnaire_Answers!$B$6:$B$505,$B67),0),SUMIFS(Questionnaire_Answers!$I$6:$I$505,Questionnaire_Answers!$A$6:$A$505,$A67,Questionnaire_Answers!$B$6:$B$505,$B67)))</x:f>
      </x:c>
      <x:c r="E67" s="14">
        <x:f>IF($A67="","",SUMIFS(Picks!$H$6:$H$505,Picks!$A$6:$A$505,$A67,Picks!$B$6:$B$505,$B67))</x:f>
      </x:c>
      <x:c r="F67" s="14">
        <x:f>IF($A67="","",IF(Settings!$B$7="Questionnaire",$D67*Settings!$B$15,IF(Settings!$B$7="Picks",$E67*Settings!$B$16,($D67*Settings!$B$15)+($E67*Settings!$B$16))))</x:f>
      </x:c>
    </x:row>
    <x:row r="68">
      <x:c r="A68" s="10" t="n"/>
      <x:c r="B68" s="10" t="n"/>
      <x:c r="C68" s="9">
        <x:f>IF($A68="","",IFERROR(INDEX(Results!$E$6:$E$500,MATCH($A68,Results!$A$6:$A$500,0)),""))</x:f>
      </x:c>
      <x:c r="D68" s="14">
        <x:f>IF($A68="","",IF(Settings!$B$8="Yes",IF($C68="Yes",SUMIFS(Questionnaire_Answers!$I$6:$I$505,Questionnaire_Answers!$A$6:$A$505,$A68,Questionnaire_Answers!$B$6:$B$505,$B68),0),SUMIFS(Questionnaire_Answers!$I$6:$I$505,Questionnaire_Answers!$A$6:$A$505,$A68,Questionnaire_Answers!$B$6:$B$505,$B68)))</x:f>
      </x:c>
      <x:c r="E68" s="14">
        <x:f>IF($A68="","",SUMIFS(Picks!$H$6:$H$505,Picks!$A$6:$A$505,$A68,Picks!$B$6:$B$505,$B68))</x:f>
      </x:c>
      <x:c r="F68" s="14">
        <x:f>IF($A68="","",IF(Settings!$B$7="Questionnaire",$D68*Settings!$B$15,IF(Settings!$B$7="Picks",$E68*Settings!$B$16,($D68*Settings!$B$15)+($E68*Settings!$B$16))))</x:f>
      </x:c>
    </x:row>
    <x:row r="69">
      <x:c r="A69" s="10" t="n"/>
      <x:c r="B69" s="10" t="n"/>
      <x:c r="C69" s="9">
        <x:f>IF($A69="","",IFERROR(INDEX(Results!$E$6:$E$500,MATCH($A69,Results!$A$6:$A$500,0)),""))</x:f>
      </x:c>
      <x:c r="D69" s="14">
        <x:f>IF($A69="","",IF(Settings!$B$8="Yes",IF($C69="Yes",SUMIFS(Questionnaire_Answers!$I$6:$I$505,Questionnaire_Answers!$A$6:$A$505,$A69,Questionnaire_Answers!$B$6:$B$505,$B69),0),SUMIFS(Questionnaire_Answers!$I$6:$I$505,Questionnaire_Answers!$A$6:$A$505,$A69,Questionnaire_Answers!$B$6:$B$505,$B69)))</x:f>
      </x:c>
      <x:c r="E69" s="14">
        <x:f>IF($A69="","",SUMIFS(Picks!$H$6:$H$505,Picks!$A$6:$A$505,$A69,Picks!$B$6:$B$505,$B69))</x:f>
      </x:c>
      <x:c r="F69" s="14">
        <x:f>IF($A69="","",IF(Settings!$B$7="Questionnaire",$D69*Settings!$B$15,IF(Settings!$B$7="Picks",$E69*Settings!$B$16,($D69*Settings!$B$15)+($E69*Settings!$B$16))))</x:f>
      </x:c>
    </x:row>
    <x:row r="70">
      <x:c r="A70" s="10" t="n"/>
      <x:c r="B70" s="10" t="n"/>
      <x:c r="C70" s="9">
        <x:f>IF($A70="","",IFERROR(INDEX(Results!$E$6:$E$500,MATCH($A70,Results!$A$6:$A$500,0)),""))</x:f>
      </x:c>
      <x:c r="D70" s="14">
        <x:f>IF($A70="","",IF(Settings!$B$8="Yes",IF($C70="Yes",SUMIFS(Questionnaire_Answers!$I$6:$I$505,Questionnaire_Answers!$A$6:$A$505,$A70,Questionnaire_Answers!$B$6:$B$505,$B70),0),SUMIFS(Questionnaire_Answers!$I$6:$I$505,Questionnaire_Answers!$A$6:$A$505,$A70,Questionnaire_Answers!$B$6:$B$505,$B70)))</x:f>
      </x:c>
      <x:c r="E70" s="14">
        <x:f>IF($A70="","",SUMIFS(Picks!$H$6:$H$505,Picks!$A$6:$A$505,$A70,Picks!$B$6:$B$505,$B70))</x:f>
      </x:c>
      <x:c r="F70" s="14">
        <x:f>IF($A70="","",IF(Settings!$B$7="Questionnaire",$D70*Settings!$B$15,IF(Settings!$B$7="Picks",$E70*Settings!$B$16,($D70*Settings!$B$15)+($E70*Settings!$B$16))))</x:f>
      </x:c>
    </x:row>
    <x:row r="71">
      <x:c r="A71" s="10" t="n"/>
      <x:c r="B71" s="10" t="n"/>
      <x:c r="C71" s="9">
        <x:f>IF($A71="","",IFERROR(INDEX(Results!$E$6:$E$500,MATCH($A71,Results!$A$6:$A$500,0)),""))</x:f>
      </x:c>
      <x:c r="D71" s="14">
        <x:f>IF($A71="","",IF(Settings!$B$8="Yes",IF($C71="Yes",SUMIFS(Questionnaire_Answers!$I$6:$I$505,Questionnaire_Answers!$A$6:$A$505,$A71,Questionnaire_Answers!$B$6:$B$505,$B71),0),SUMIFS(Questionnaire_Answers!$I$6:$I$505,Questionnaire_Answers!$A$6:$A$505,$A71,Questionnaire_Answers!$B$6:$B$505,$B71)))</x:f>
      </x:c>
      <x:c r="E71" s="14">
        <x:f>IF($A71="","",SUMIFS(Picks!$H$6:$H$505,Picks!$A$6:$A$505,$A71,Picks!$B$6:$B$505,$B71))</x:f>
      </x:c>
      <x:c r="F71" s="14">
        <x:f>IF($A71="","",IF(Settings!$B$7="Questionnaire",$D71*Settings!$B$15,IF(Settings!$B$7="Picks",$E71*Settings!$B$16,($D71*Settings!$B$15)+($E71*Settings!$B$16))))</x:f>
      </x:c>
    </x:row>
    <x:row r="72">
      <x:c r="A72" s="10" t="n"/>
      <x:c r="B72" s="10" t="n"/>
      <x:c r="C72" s="9">
        <x:f>IF($A72="","",IFERROR(INDEX(Results!$E$6:$E$500,MATCH($A72,Results!$A$6:$A$500,0)),""))</x:f>
      </x:c>
      <x:c r="D72" s="14">
        <x:f>IF($A72="","",IF(Settings!$B$8="Yes",IF($C72="Yes",SUMIFS(Questionnaire_Answers!$I$6:$I$505,Questionnaire_Answers!$A$6:$A$505,$A72,Questionnaire_Answers!$B$6:$B$505,$B72),0),SUMIFS(Questionnaire_Answers!$I$6:$I$505,Questionnaire_Answers!$A$6:$A$505,$A72,Questionnaire_Answers!$B$6:$B$505,$B72)))</x:f>
      </x:c>
      <x:c r="E72" s="14">
        <x:f>IF($A72="","",SUMIFS(Picks!$H$6:$H$505,Picks!$A$6:$A$505,$A72,Picks!$B$6:$B$505,$B72))</x:f>
      </x:c>
      <x:c r="F72" s="14">
        <x:f>IF($A72="","",IF(Settings!$B$7="Questionnaire",$D72*Settings!$B$15,IF(Settings!$B$7="Picks",$E72*Settings!$B$16,($D72*Settings!$B$15)+($E72*Settings!$B$16))))</x:f>
      </x:c>
    </x:row>
    <x:row r="73">
      <x:c r="A73" s="10" t="n"/>
      <x:c r="B73" s="10" t="n"/>
      <x:c r="C73" s="9">
        <x:f>IF($A73="","",IFERROR(INDEX(Results!$E$6:$E$500,MATCH($A73,Results!$A$6:$A$500,0)),""))</x:f>
      </x:c>
      <x:c r="D73" s="14">
        <x:f>IF($A73="","",IF(Settings!$B$8="Yes",IF($C73="Yes",SUMIFS(Questionnaire_Answers!$I$6:$I$505,Questionnaire_Answers!$A$6:$A$505,$A73,Questionnaire_Answers!$B$6:$B$505,$B73),0),SUMIFS(Questionnaire_Answers!$I$6:$I$505,Questionnaire_Answers!$A$6:$A$505,$A73,Questionnaire_Answers!$B$6:$B$505,$B73)))</x:f>
      </x:c>
      <x:c r="E73" s="14">
        <x:f>IF($A73="","",SUMIFS(Picks!$H$6:$H$505,Picks!$A$6:$A$505,$A73,Picks!$B$6:$B$505,$B73))</x:f>
      </x:c>
      <x:c r="F73" s="14">
        <x:f>IF($A73="","",IF(Settings!$B$7="Questionnaire",$D73*Settings!$B$15,IF(Settings!$B$7="Picks",$E73*Settings!$B$16,($D73*Settings!$B$15)+($E73*Settings!$B$16))))</x:f>
      </x:c>
    </x:row>
    <x:row r="74">
      <x:c r="A74" s="10" t="n"/>
      <x:c r="B74" s="10" t="n"/>
      <x:c r="C74" s="9">
        <x:f>IF($A74="","",IFERROR(INDEX(Results!$E$6:$E$500,MATCH($A74,Results!$A$6:$A$500,0)),""))</x:f>
      </x:c>
      <x:c r="D74" s="14">
        <x:f>IF($A74="","",IF(Settings!$B$8="Yes",IF($C74="Yes",SUMIFS(Questionnaire_Answers!$I$6:$I$505,Questionnaire_Answers!$A$6:$A$505,$A74,Questionnaire_Answers!$B$6:$B$505,$B74),0),SUMIFS(Questionnaire_Answers!$I$6:$I$505,Questionnaire_Answers!$A$6:$A$505,$A74,Questionnaire_Answers!$B$6:$B$505,$B74)))</x:f>
      </x:c>
      <x:c r="E74" s="14">
        <x:f>IF($A74="","",SUMIFS(Picks!$H$6:$H$505,Picks!$A$6:$A$505,$A74,Picks!$B$6:$B$505,$B74))</x:f>
      </x:c>
      <x:c r="F74" s="14">
        <x:f>IF($A74="","",IF(Settings!$B$7="Questionnaire",$D74*Settings!$B$15,IF(Settings!$B$7="Picks",$E74*Settings!$B$16,($D74*Settings!$B$15)+($E74*Settings!$B$16))))</x:f>
      </x:c>
    </x:row>
    <x:row r="75">
      <x:c r="A75" s="10" t="n"/>
      <x:c r="B75" s="10" t="n"/>
      <x:c r="C75" s="9">
        <x:f>IF($A75="","",IFERROR(INDEX(Results!$E$6:$E$500,MATCH($A75,Results!$A$6:$A$500,0)),""))</x:f>
      </x:c>
      <x:c r="D75" s="14">
        <x:f>IF($A75="","",IF(Settings!$B$8="Yes",IF($C75="Yes",SUMIFS(Questionnaire_Answers!$I$6:$I$505,Questionnaire_Answers!$A$6:$A$505,$A75,Questionnaire_Answers!$B$6:$B$505,$B75),0),SUMIFS(Questionnaire_Answers!$I$6:$I$505,Questionnaire_Answers!$A$6:$A$505,$A75,Questionnaire_Answers!$B$6:$B$505,$B75)))</x:f>
      </x:c>
      <x:c r="E75" s="14">
        <x:f>IF($A75="","",SUMIFS(Picks!$H$6:$H$505,Picks!$A$6:$A$505,$A75,Picks!$B$6:$B$505,$B75))</x:f>
      </x:c>
      <x:c r="F75" s="14">
        <x:f>IF($A75="","",IF(Settings!$B$7="Questionnaire",$D75*Settings!$B$15,IF(Settings!$B$7="Picks",$E75*Settings!$B$16,($D75*Settings!$B$15)+($E75*Settings!$B$16))))</x:f>
      </x:c>
    </x:row>
    <x:row r="76">
      <x:c r="A76" s="10" t="n"/>
      <x:c r="B76" s="10" t="n"/>
      <x:c r="C76" s="9">
        <x:f>IF($A76="","",IFERROR(INDEX(Results!$E$6:$E$500,MATCH($A76,Results!$A$6:$A$500,0)),""))</x:f>
      </x:c>
      <x:c r="D76" s="14">
        <x:f>IF($A76="","",IF(Settings!$B$8="Yes",IF($C76="Yes",SUMIFS(Questionnaire_Answers!$I$6:$I$505,Questionnaire_Answers!$A$6:$A$505,$A76,Questionnaire_Answers!$B$6:$B$505,$B76),0),SUMIFS(Questionnaire_Answers!$I$6:$I$505,Questionnaire_Answers!$A$6:$A$505,$A76,Questionnaire_Answers!$B$6:$B$505,$B76)))</x:f>
      </x:c>
      <x:c r="E76" s="14">
        <x:f>IF($A76="","",SUMIFS(Picks!$H$6:$H$505,Picks!$A$6:$A$505,$A76,Picks!$B$6:$B$505,$B76))</x:f>
      </x:c>
      <x:c r="F76" s="14">
        <x:f>IF($A76="","",IF(Settings!$B$7="Questionnaire",$D76*Settings!$B$15,IF(Settings!$B$7="Picks",$E76*Settings!$B$16,($D76*Settings!$B$15)+($E76*Settings!$B$16))))</x:f>
      </x:c>
    </x:row>
    <x:row r="77">
      <x:c r="A77" s="10" t="n"/>
      <x:c r="B77" s="10" t="n"/>
      <x:c r="C77" s="9">
        <x:f>IF($A77="","",IFERROR(INDEX(Results!$E$6:$E$500,MATCH($A77,Results!$A$6:$A$500,0)),""))</x:f>
      </x:c>
      <x:c r="D77" s="14">
        <x:f>IF($A77="","",IF(Settings!$B$8="Yes",IF($C77="Yes",SUMIFS(Questionnaire_Answers!$I$6:$I$505,Questionnaire_Answers!$A$6:$A$505,$A77,Questionnaire_Answers!$B$6:$B$505,$B77),0),SUMIFS(Questionnaire_Answers!$I$6:$I$505,Questionnaire_Answers!$A$6:$A$505,$A77,Questionnaire_Answers!$B$6:$B$505,$B77)))</x:f>
      </x:c>
      <x:c r="E77" s="14">
        <x:f>IF($A77="","",SUMIFS(Picks!$H$6:$H$505,Picks!$A$6:$A$505,$A77,Picks!$B$6:$B$505,$B77))</x:f>
      </x:c>
      <x:c r="F77" s="14">
        <x:f>IF($A77="","",IF(Settings!$B$7="Questionnaire",$D77*Settings!$B$15,IF(Settings!$B$7="Picks",$E77*Settings!$B$16,($D77*Settings!$B$15)+($E77*Settings!$B$16))))</x:f>
      </x:c>
    </x:row>
    <x:row r="78">
      <x:c r="A78" s="10" t="n"/>
      <x:c r="B78" s="10" t="n"/>
      <x:c r="C78" s="9">
        <x:f>IF($A78="","",IFERROR(INDEX(Results!$E$6:$E$500,MATCH($A78,Results!$A$6:$A$500,0)),""))</x:f>
      </x:c>
      <x:c r="D78" s="14">
        <x:f>IF($A78="","",IF(Settings!$B$8="Yes",IF($C78="Yes",SUMIFS(Questionnaire_Answers!$I$6:$I$505,Questionnaire_Answers!$A$6:$A$505,$A78,Questionnaire_Answers!$B$6:$B$505,$B78),0),SUMIFS(Questionnaire_Answers!$I$6:$I$505,Questionnaire_Answers!$A$6:$A$505,$A78,Questionnaire_Answers!$B$6:$B$505,$B78)))</x:f>
      </x:c>
      <x:c r="E78" s="14">
        <x:f>IF($A78="","",SUMIFS(Picks!$H$6:$H$505,Picks!$A$6:$A$505,$A78,Picks!$B$6:$B$505,$B78))</x:f>
      </x:c>
      <x:c r="F78" s="14">
        <x:f>IF($A78="","",IF(Settings!$B$7="Questionnaire",$D78*Settings!$B$15,IF(Settings!$B$7="Picks",$E78*Settings!$B$16,($D78*Settings!$B$15)+($E78*Settings!$B$16))))</x:f>
      </x:c>
    </x:row>
    <x:row r="79">
      <x:c r="A79" s="10" t="n"/>
      <x:c r="B79" s="10" t="n"/>
      <x:c r="C79" s="9">
        <x:f>IF($A79="","",IFERROR(INDEX(Results!$E$6:$E$500,MATCH($A79,Results!$A$6:$A$500,0)),""))</x:f>
      </x:c>
      <x:c r="D79" s="14">
        <x:f>IF($A79="","",IF(Settings!$B$8="Yes",IF($C79="Yes",SUMIFS(Questionnaire_Answers!$I$6:$I$505,Questionnaire_Answers!$A$6:$A$505,$A79,Questionnaire_Answers!$B$6:$B$505,$B79),0),SUMIFS(Questionnaire_Answers!$I$6:$I$505,Questionnaire_Answers!$A$6:$A$505,$A79,Questionnaire_Answers!$B$6:$B$505,$B79)))</x:f>
      </x:c>
      <x:c r="E79" s="14">
        <x:f>IF($A79="","",SUMIFS(Picks!$H$6:$H$505,Picks!$A$6:$A$505,$A79,Picks!$B$6:$B$505,$B79))</x:f>
      </x:c>
      <x:c r="F79" s="14">
        <x:f>IF($A79="","",IF(Settings!$B$7="Questionnaire",$D79*Settings!$B$15,IF(Settings!$B$7="Picks",$E79*Settings!$B$16,($D79*Settings!$B$15)+($E79*Settings!$B$16))))</x:f>
      </x:c>
    </x:row>
    <x:row r="80">
      <x:c r="A80" s="10" t="n"/>
      <x:c r="B80" s="10" t="n"/>
      <x:c r="C80" s="9">
        <x:f>IF($A80="","",IFERROR(INDEX(Results!$E$6:$E$500,MATCH($A80,Results!$A$6:$A$500,0)),""))</x:f>
      </x:c>
      <x:c r="D80" s="14">
        <x:f>IF($A80="","",IF(Settings!$B$8="Yes",IF($C80="Yes",SUMIFS(Questionnaire_Answers!$I$6:$I$505,Questionnaire_Answers!$A$6:$A$505,$A80,Questionnaire_Answers!$B$6:$B$505,$B80),0),SUMIFS(Questionnaire_Answers!$I$6:$I$505,Questionnaire_Answers!$A$6:$A$505,$A80,Questionnaire_Answers!$B$6:$B$505,$B80)))</x:f>
      </x:c>
      <x:c r="E80" s="14">
        <x:f>IF($A80="","",SUMIFS(Picks!$H$6:$H$505,Picks!$A$6:$A$505,$A80,Picks!$B$6:$B$505,$B80))</x:f>
      </x:c>
      <x:c r="F80" s="14">
        <x:f>IF($A80="","",IF(Settings!$B$7="Questionnaire",$D80*Settings!$B$15,IF(Settings!$B$7="Picks",$E80*Settings!$B$16,($D80*Settings!$B$15)+($E80*Settings!$B$16))))</x:f>
      </x:c>
    </x:row>
    <x:row r="81">
      <x:c r="A81" s="10" t="n"/>
      <x:c r="B81" s="10" t="n"/>
      <x:c r="C81" s="9">
        <x:f>IF($A81="","",IFERROR(INDEX(Results!$E$6:$E$500,MATCH($A81,Results!$A$6:$A$500,0)),""))</x:f>
      </x:c>
      <x:c r="D81" s="14">
        <x:f>IF($A81="","",IF(Settings!$B$8="Yes",IF($C81="Yes",SUMIFS(Questionnaire_Answers!$I$6:$I$505,Questionnaire_Answers!$A$6:$A$505,$A81,Questionnaire_Answers!$B$6:$B$505,$B81),0),SUMIFS(Questionnaire_Answers!$I$6:$I$505,Questionnaire_Answers!$A$6:$A$505,$A81,Questionnaire_Answers!$B$6:$B$505,$B81)))</x:f>
      </x:c>
      <x:c r="E81" s="14">
        <x:f>IF($A81="","",SUMIFS(Picks!$H$6:$H$505,Picks!$A$6:$A$505,$A81,Picks!$B$6:$B$505,$B81))</x:f>
      </x:c>
      <x:c r="F81" s="14">
        <x:f>IF($A81="","",IF(Settings!$B$7="Questionnaire",$D81*Settings!$B$15,IF(Settings!$B$7="Picks",$E81*Settings!$B$16,($D81*Settings!$B$15)+($E81*Settings!$B$16))))</x:f>
      </x:c>
    </x:row>
    <x:row r="82">
      <x:c r="A82" s="10" t="n"/>
      <x:c r="B82" s="10" t="n"/>
      <x:c r="C82" s="9">
        <x:f>IF($A82="","",IFERROR(INDEX(Results!$E$6:$E$500,MATCH($A82,Results!$A$6:$A$500,0)),""))</x:f>
      </x:c>
      <x:c r="D82" s="14">
        <x:f>IF($A82="","",IF(Settings!$B$8="Yes",IF($C82="Yes",SUMIFS(Questionnaire_Answers!$I$6:$I$505,Questionnaire_Answers!$A$6:$A$505,$A82,Questionnaire_Answers!$B$6:$B$505,$B82),0),SUMIFS(Questionnaire_Answers!$I$6:$I$505,Questionnaire_Answers!$A$6:$A$505,$A82,Questionnaire_Answers!$B$6:$B$505,$B82)))</x:f>
      </x:c>
      <x:c r="E82" s="14">
        <x:f>IF($A82="","",SUMIFS(Picks!$H$6:$H$505,Picks!$A$6:$A$505,$A82,Picks!$B$6:$B$505,$B82))</x:f>
      </x:c>
      <x:c r="F82" s="14">
        <x:f>IF($A82="","",IF(Settings!$B$7="Questionnaire",$D82*Settings!$B$15,IF(Settings!$B$7="Picks",$E82*Settings!$B$16,($D82*Settings!$B$15)+($E82*Settings!$B$16))))</x:f>
      </x:c>
    </x:row>
    <x:row r="83">
      <x:c r="A83" s="10" t="n"/>
      <x:c r="B83" s="10" t="n"/>
      <x:c r="C83" s="9">
        <x:f>IF($A83="","",IFERROR(INDEX(Results!$E$6:$E$500,MATCH($A83,Results!$A$6:$A$500,0)),""))</x:f>
      </x:c>
      <x:c r="D83" s="14">
        <x:f>IF($A83="","",IF(Settings!$B$8="Yes",IF($C83="Yes",SUMIFS(Questionnaire_Answers!$I$6:$I$505,Questionnaire_Answers!$A$6:$A$505,$A83,Questionnaire_Answers!$B$6:$B$505,$B83),0),SUMIFS(Questionnaire_Answers!$I$6:$I$505,Questionnaire_Answers!$A$6:$A$505,$A83,Questionnaire_Answers!$B$6:$B$505,$B83)))</x:f>
      </x:c>
      <x:c r="E83" s="14">
        <x:f>IF($A83="","",SUMIFS(Picks!$H$6:$H$505,Picks!$A$6:$A$505,$A83,Picks!$B$6:$B$505,$B83))</x:f>
      </x:c>
      <x:c r="F83" s="14">
        <x:f>IF($A83="","",IF(Settings!$B$7="Questionnaire",$D83*Settings!$B$15,IF(Settings!$B$7="Picks",$E83*Settings!$B$16,($D83*Settings!$B$15)+($E83*Settings!$B$16))))</x:f>
      </x:c>
    </x:row>
    <x:row r="84">
      <x:c r="A84" s="10" t="n"/>
      <x:c r="B84" s="10" t="n"/>
      <x:c r="C84" s="9">
        <x:f>IF($A84="","",IFERROR(INDEX(Results!$E$6:$E$500,MATCH($A84,Results!$A$6:$A$500,0)),""))</x:f>
      </x:c>
      <x:c r="D84" s="14">
        <x:f>IF($A84="","",IF(Settings!$B$8="Yes",IF($C84="Yes",SUMIFS(Questionnaire_Answers!$I$6:$I$505,Questionnaire_Answers!$A$6:$A$505,$A84,Questionnaire_Answers!$B$6:$B$505,$B84),0),SUMIFS(Questionnaire_Answers!$I$6:$I$505,Questionnaire_Answers!$A$6:$A$505,$A84,Questionnaire_Answers!$B$6:$B$505,$B84)))</x:f>
      </x:c>
      <x:c r="E84" s="14">
        <x:f>IF($A84="","",SUMIFS(Picks!$H$6:$H$505,Picks!$A$6:$A$505,$A84,Picks!$B$6:$B$505,$B84))</x:f>
      </x:c>
      <x:c r="F84" s="14">
        <x:f>IF($A84="","",IF(Settings!$B$7="Questionnaire",$D84*Settings!$B$15,IF(Settings!$B$7="Picks",$E84*Settings!$B$16,($D84*Settings!$B$15)+($E84*Settings!$B$16))))</x:f>
      </x:c>
    </x:row>
    <x:row r="85">
      <x:c r="A85" s="10" t="n"/>
      <x:c r="B85" s="10" t="n"/>
      <x:c r="C85" s="9">
        <x:f>IF($A85="","",IFERROR(INDEX(Results!$E$6:$E$500,MATCH($A85,Results!$A$6:$A$500,0)),""))</x:f>
      </x:c>
      <x:c r="D85" s="14">
        <x:f>IF($A85="","",IF(Settings!$B$8="Yes",IF($C85="Yes",SUMIFS(Questionnaire_Answers!$I$6:$I$505,Questionnaire_Answers!$A$6:$A$505,$A85,Questionnaire_Answers!$B$6:$B$505,$B85),0),SUMIFS(Questionnaire_Answers!$I$6:$I$505,Questionnaire_Answers!$A$6:$A$505,$A85,Questionnaire_Answers!$B$6:$B$505,$B85)))</x:f>
      </x:c>
      <x:c r="E85" s="14">
        <x:f>IF($A85="","",SUMIFS(Picks!$H$6:$H$505,Picks!$A$6:$A$505,$A85,Picks!$B$6:$B$505,$B85))</x:f>
      </x:c>
      <x:c r="F85" s="14">
        <x:f>IF($A85="","",IF(Settings!$B$7="Questionnaire",$D85*Settings!$B$15,IF(Settings!$B$7="Picks",$E85*Settings!$B$16,($D85*Settings!$B$15)+($E85*Settings!$B$16))))</x:f>
      </x:c>
    </x:row>
    <x:row r="86">
      <x:c r="A86" s="10" t="n"/>
      <x:c r="B86" s="10" t="n"/>
      <x:c r="C86" s="9">
        <x:f>IF($A86="","",IFERROR(INDEX(Results!$E$6:$E$500,MATCH($A86,Results!$A$6:$A$500,0)),""))</x:f>
      </x:c>
      <x:c r="D86" s="14">
        <x:f>IF($A86="","",IF(Settings!$B$8="Yes",IF($C86="Yes",SUMIFS(Questionnaire_Answers!$I$6:$I$505,Questionnaire_Answers!$A$6:$A$505,$A86,Questionnaire_Answers!$B$6:$B$505,$B86),0),SUMIFS(Questionnaire_Answers!$I$6:$I$505,Questionnaire_Answers!$A$6:$A$505,$A86,Questionnaire_Answers!$B$6:$B$505,$B86)))</x:f>
      </x:c>
      <x:c r="E86" s="14">
        <x:f>IF($A86="","",SUMIFS(Picks!$H$6:$H$505,Picks!$A$6:$A$505,$A86,Picks!$B$6:$B$505,$B86))</x:f>
      </x:c>
      <x:c r="F86" s="14">
        <x:f>IF($A86="","",IF(Settings!$B$7="Questionnaire",$D86*Settings!$B$15,IF(Settings!$B$7="Picks",$E86*Settings!$B$16,($D86*Settings!$B$15)+($E86*Settings!$B$16))))</x:f>
      </x:c>
    </x:row>
    <x:row r="87">
      <x:c r="A87" s="10" t="n"/>
      <x:c r="B87" s="10" t="n"/>
      <x:c r="C87" s="9">
        <x:f>IF($A87="","",IFERROR(INDEX(Results!$E$6:$E$500,MATCH($A87,Results!$A$6:$A$500,0)),""))</x:f>
      </x:c>
      <x:c r="D87" s="14">
        <x:f>IF($A87="","",IF(Settings!$B$8="Yes",IF($C87="Yes",SUMIFS(Questionnaire_Answers!$I$6:$I$505,Questionnaire_Answers!$A$6:$A$505,$A87,Questionnaire_Answers!$B$6:$B$505,$B87),0),SUMIFS(Questionnaire_Answers!$I$6:$I$505,Questionnaire_Answers!$A$6:$A$505,$A87,Questionnaire_Answers!$B$6:$B$505,$B87)))</x:f>
      </x:c>
      <x:c r="E87" s="14">
        <x:f>IF($A87="","",SUMIFS(Picks!$H$6:$H$505,Picks!$A$6:$A$505,$A87,Picks!$B$6:$B$505,$B87))</x:f>
      </x:c>
      <x:c r="F87" s="14">
        <x:f>IF($A87="","",IF(Settings!$B$7="Questionnaire",$D87*Settings!$B$15,IF(Settings!$B$7="Picks",$E87*Settings!$B$16,($D87*Settings!$B$15)+($E87*Settings!$B$16))))</x:f>
      </x:c>
    </x:row>
    <x:row r="88">
      <x:c r="A88" s="10" t="n"/>
      <x:c r="B88" s="10" t="n"/>
      <x:c r="C88" s="9">
        <x:f>IF($A88="","",IFERROR(INDEX(Results!$E$6:$E$500,MATCH($A88,Results!$A$6:$A$500,0)),""))</x:f>
      </x:c>
      <x:c r="D88" s="14">
        <x:f>IF($A88="","",IF(Settings!$B$8="Yes",IF($C88="Yes",SUMIFS(Questionnaire_Answers!$I$6:$I$505,Questionnaire_Answers!$A$6:$A$505,$A88,Questionnaire_Answers!$B$6:$B$505,$B88),0),SUMIFS(Questionnaire_Answers!$I$6:$I$505,Questionnaire_Answers!$A$6:$A$505,$A88,Questionnaire_Answers!$B$6:$B$505,$B88)))</x:f>
      </x:c>
      <x:c r="E88" s="14">
        <x:f>IF($A88="","",SUMIFS(Picks!$H$6:$H$505,Picks!$A$6:$A$505,$A88,Picks!$B$6:$B$505,$B88))</x:f>
      </x:c>
      <x:c r="F88" s="14">
        <x:f>IF($A88="","",IF(Settings!$B$7="Questionnaire",$D88*Settings!$B$15,IF(Settings!$B$7="Picks",$E88*Settings!$B$16,($D88*Settings!$B$15)+($E88*Settings!$B$16))))</x:f>
      </x:c>
    </x:row>
    <x:row r="89">
      <x:c r="A89" s="10" t="n"/>
      <x:c r="B89" s="10" t="n"/>
      <x:c r="C89" s="9">
        <x:f>IF($A89="","",IFERROR(INDEX(Results!$E$6:$E$500,MATCH($A89,Results!$A$6:$A$500,0)),""))</x:f>
      </x:c>
      <x:c r="D89" s="14">
        <x:f>IF($A89="","",IF(Settings!$B$8="Yes",IF($C89="Yes",SUMIFS(Questionnaire_Answers!$I$6:$I$505,Questionnaire_Answers!$A$6:$A$505,$A89,Questionnaire_Answers!$B$6:$B$505,$B89),0),SUMIFS(Questionnaire_Answers!$I$6:$I$505,Questionnaire_Answers!$A$6:$A$505,$A89,Questionnaire_Answers!$B$6:$B$505,$B89)))</x:f>
      </x:c>
      <x:c r="E89" s="14">
        <x:f>IF($A89="","",SUMIFS(Picks!$H$6:$H$505,Picks!$A$6:$A$505,$A89,Picks!$B$6:$B$505,$B89))</x:f>
      </x:c>
      <x:c r="F89" s="14">
        <x:f>IF($A89="","",IF(Settings!$B$7="Questionnaire",$D89*Settings!$B$15,IF(Settings!$B$7="Picks",$E89*Settings!$B$16,($D89*Settings!$B$15)+($E89*Settings!$B$16))))</x:f>
      </x:c>
    </x:row>
    <x:row r="90">
      <x:c r="A90" s="10" t="n"/>
      <x:c r="B90" s="10" t="n"/>
      <x:c r="C90" s="9">
        <x:f>IF($A90="","",IFERROR(INDEX(Results!$E$6:$E$500,MATCH($A90,Results!$A$6:$A$500,0)),""))</x:f>
      </x:c>
      <x:c r="D90" s="14">
        <x:f>IF($A90="","",IF(Settings!$B$8="Yes",IF($C90="Yes",SUMIFS(Questionnaire_Answers!$I$6:$I$505,Questionnaire_Answers!$A$6:$A$505,$A90,Questionnaire_Answers!$B$6:$B$505,$B90),0),SUMIFS(Questionnaire_Answers!$I$6:$I$505,Questionnaire_Answers!$A$6:$A$505,$A90,Questionnaire_Answers!$B$6:$B$505,$B90)))</x:f>
      </x:c>
      <x:c r="E90" s="14">
        <x:f>IF($A90="","",SUMIFS(Picks!$H$6:$H$505,Picks!$A$6:$A$505,$A90,Picks!$B$6:$B$505,$B90))</x:f>
      </x:c>
      <x:c r="F90" s="14">
        <x:f>IF($A90="","",IF(Settings!$B$7="Questionnaire",$D90*Settings!$B$15,IF(Settings!$B$7="Picks",$E90*Settings!$B$16,($D90*Settings!$B$15)+($E90*Settings!$B$16))))</x:f>
      </x:c>
    </x:row>
    <x:row r="91">
      <x:c r="A91" s="10" t="n"/>
      <x:c r="B91" s="10" t="n"/>
      <x:c r="C91" s="9">
        <x:f>IF($A91="","",IFERROR(INDEX(Results!$E$6:$E$500,MATCH($A91,Results!$A$6:$A$500,0)),""))</x:f>
      </x:c>
      <x:c r="D91" s="14">
        <x:f>IF($A91="","",IF(Settings!$B$8="Yes",IF($C91="Yes",SUMIFS(Questionnaire_Answers!$I$6:$I$505,Questionnaire_Answers!$A$6:$A$505,$A91,Questionnaire_Answers!$B$6:$B$505,$B91),0),SUMIFS(Questionnaire_Answers!$I$6:$I$505,Questionnaire_Answers!$A$6:$A$505,$A91,Questionnaire_Answers!$B$6:$B$505,$B91)))</x:f>
      </x:c>
      <x:c r="E91" s="14">
        <x:f>IF($A91="","",SUMIFS(Picks!$H$6:$H$505,Picks!$A$6:$A$505,$A91,Picks!$B$6:$B$505,$B91))</x:f>
      </x:c>
      <x:c r="F91" s="14">
        <x:f>IF($A91="","",IF(Settings!$B$7="Questionnaire",$D91*Settings!$B$15,IF(Settings!$B$7="Picks",$E91*Settings!$B$16,($D91*Settings!$B$15)+($E91*Settings!$B$16))))</x:f>
      </x:c>
    </x:row>
    <x:row r="92">
      <x:c r="A92" s="10" t="n"/>
      <x:c r="B92" s="10" t="n"/>
      <x:c r="C92" s="9">
        <x:f>IF($A92="","",IFERROR(INDEX(Results!$E$6:$E$500,MATCH($A92,Results!$A$6:$A$500,0)),""))</x:f>
      </x:c>
      <x:c r="D92" s="14">
        <x:f>IF($A92="","",IF(Settings!$B$8="Yes",IF($C92="Yes",SUMIFS(Questionnaire_Answers!$I$6:$I$505,Questionnaire_Answers!$A$6:$A$505,$A92,Questionnaire_Answers!$B$6:$B$505,$B92),0),SUMIFS(Questionnaire_Answers!$I$6:$I$505,Questionnaire_Answers!$A$6:$A$505,$A92,Questionnaire_Answers!$B$6:$B$505,$B92)))</x:f>
      </x:c>
      <x:c r="E92" s="14">
        <x:f>IF($A92="","",SUMIFS(Picks!$H$6:$H$505,Picks!$A$6:$A$505,$A92,Picks!$B$6:$B$505,$B92))</x:f>
      </x:c>
      <x:c r="F92" s="14">
        <x:f>IF($A92="","",IF(Settings!$B$7="Questionnaire",$D92*Settings!$B$15,IF(Settings!$B$7="Picks",$E92*Settings!$B$16,($D92*Settings!$B$15)+($E92*Settings!$B$16))))</x:f>
      </x:c>
    </x:row>
    <x:row r="93">
      <x:c r="A93" s="10" t="n"/>
      <x:c r="B93" s="10" t="n"/>
      <x:c r="C93" s="9">
        <x:f>IF($A93="","",IFERROR(INDEX(Results!$E$6:$E$500,MATCH($A93,Results!$A$6:$A$500,0)),""))</x:f>
      </x:c>
      <x:c r="D93" s="14">
        <x:f>IF($A93="","",IF(Settings!$B$8="Yes",IF($C93="Yes",SUMIFS(Questionnaire_Answers!$I$6:$I$505,Questionnaire_Answers!$A$6:$A$505,$A93,Questionnaire_Answers!$B$6:$B$505,$B93),0),SUMIFS(Questionnaire_Answers!$I$6:$I$505,Questionnaire_Answers!$A$6:$A$505,$A93,Questionnaire_Answers!$B$6:$B$505,$B93)))</x:f>
      </x:c>
      <x:c r="E93" s="14">
        <x:f>IF($A93="","",SUMIFS(Picks!$H$6:$H$505,Picks!$A$6:$A$505,$A93,Picks!$B$6:$B$505,$B93))</x:f>
      </x:c>
      <x:c r="F93" s="14">
        <x:f>IF($A93="","",IF(Settings!$B$7="Questionnaire",$D93*Settings!$B$15,IF(Settings!$B$7="Picks",$E93*Settings!$B$16,($D93*Settings!$B$15)+($E93*Settings!$B$16))))</x:f>
      </x:c>
    </x:row>
    <x:row r="94">
      <x:c r="A94" s="10" t="n"/>
      <x:c r="B94" s="10" t="n"/>
      <x:c r="C94" s="9">
        <x:f>IF($A94="","",IFERROR(INDEX(Results!$E$6:$E$500,MATCH($A94,Results!$A$6:$A$500,0)),""))</x:f>
      </x:c>
      <x:c r="D94" s="14">
        <x:f>IF($A94="","",IF(Settings!$B$8="Yes",IF($C94="Yes",SUMIFS(Questionnaire_Answers!$I$6:$I$505,Questionnaire_Answers!$A$6:$A$505,$A94,Questionnaire_Answers!$B$6:$B$505,$B94),0),SUMIFS(Questionnaire_Answers!$I$6:$I$505,Questionnaire_Answers!$A$6:$A$505,$A94,Questionnaire_Answers!$B$6:$B$505,$B94)))</x:f>
      </x:c>
      <x:c r="E94" s="14">
        <x:f>IF($A94="","",SUMIFS(Picks!$H$6:$H$505,Picks!$A$6:$A$505,$A94,Picks!$B$6:$B$505,$B94))</x:f>
      </x:c>
      <x:c r="F94" s="14">
        <x:f>IF($A94="","",IF(Settings!$B$7="Questionnaire",$D94*Settings!$B$15,IF(Settings!$B$7="Picks",$E94*Settings!$B$16,($D94*Settings!$B$15)+($E94*Settings!$B$16))))</x:f>
      </x:c>
    </x:row>
    <x:row r="95">
      <x:c r="A95" s="10" t="n"/>
      <x:c r="B95" s="10" t="n"/>
      <x:c r="C95" s="9">
        <x:f>IF($A95="","",IFERROR(INDEX(Results!$E$6:$E$500,MATCH($A95,Results!$A$6:$A$500,0)),""))</x:f>
      </x:c>
      <x:c r="D95" s="14">
        <x:f>IF($A95="","",IF(Settings!$B$8="Yes",IF($C95="Yes",SUMIFS(Questionnaire_Answers!$I$6:$I$505,Questionnaire_Answers!$A$6:$A$505,$A95,Questionnaire_Answers!$B$6:$B$505,$B95),0),SUMIFS(Questionnaire_Answers!$I$6:$I$505,Questionnaire_Answers!$A$6:$A$505,$A95,Questionnaire_Answers!$B$6:$B$505,$B95)))</x:f>
      </x:c>
      <x:c r="E95" s="14">
        <x:f>IF($A95="","",SUMIFS(Picks!$H$6:$H$505,Picks!$A$6:$A$505,$A95,Picks!$B$6:$B$505,$B95))</x:f>
      </x:c>
      <x:c r="F95" s="14">
        <x:f>IF($A95="","",IF(Settings!$B$7="Questionnaire",$D95*Settings!$B$15,IF(Settings!$B$7="Picks",$E95*Settings!$B$16,($D95*Settings!$B$15)+($E95*Settings!$B$16))))</x:f>
      </x:c>
    </x:row>
    <x:row r="96">
      <x:c r="A96" s="10" t="n"/>
      <x:c r="B96" s="10" t="n"/>
      <x:c r="C96" s="9">
        <x:f>IF($A96="","",IFERROR(INDEX(Results!$E$6:$E$500,MATCH($A96,Results!$A$6:$A$500,0)),""))</x:f>
      </x:c>
      <x:c r="D96" s="14">
        <x:f>IF($A96="","",IF(Settings!$B$8="Yes",IF($C96="Yes",SUMIFS(Questionnaire_Answers!$I$6:$I$505,Questionnaire_Answers!$A$6:$A$505,$A96,Questionnaire_Answers!$B$6:$B$505,$B96),0),SUMIFS(Questionnaire_Answers!$I$6:$I$505,Questionnaire_Answers!$A$6:$A$505,$A96,Questionnaire_Answers!$B$6:$B$505,$B96)))</x:f>
      </x:c>
      <x:c r="E96" s="14">
        <x:f>IF($A96="","",SUMIFS(Picks!$H$6:$H$505,Picks!$A$6:$A$505,$A96,Picks!$B$6:$B$505,$B96))</x:f>
      </x:c>
      <x:c r="F96" s="14">
        <x:f>IF($A96="","",IF(Settings!$B$7="Questionnaire",$D96*Settings!$B$15,IF(Settings!$B$7="Picks",$E96*Settings!$B$16,($D96*Settings!$B$15)+($E96*Settings!$B$16))))</x:f>
      </x:c>
    </x:row>
    <x:row r="97">
      <x:c r="A97" s="10" t="n"/>
      <x:c r="B97" s="10" t="n"/>
      <x:c r="C97" s="9">
        <x:f>IF($A97="","",IFERROR(INDEX(Results!$E$6:$E$500,MATCH($A97,Results!$A$6:$A$500,0)),""))</x:f>
      </x:c>
      <x:c r="D97" s="14">
        <x:f>IF($A97="","",IF(Settings!$B$8="Yes",IF($C97="Yes",SUMIFS(Questionnaire_Answers!$I$6:$I$505,Questionnaire_Answers!$A$6:$A$505,$A97,Questionnaire_Answers!$B$6:$B$505,$B97),0),SUMIFS(Questionnaire_Answers!$I$6:$I$505,Questionnaire_Answers!$A$6:$A$505,$A97,Questionnaire_Answers!$B$6:$B$505,$B97)))</x:f>
      </x:c>
      <x:c r="E97" s="14">
        <x:f>IF($A97="","",SUMIFS(Picks!$H$6:$H$505,Picks!$A$6:$A$505,$A97,Picks!$B$6:$B$505,$B97))</x:f>
      </x:c>
      <x:c r="F97" s="14">
        <x:f>IF($A97="","",IF(Settings!$B$7="Questionnaire",$D97*Settings!$B$15,IF(Settings!$B$7="Picks",$E97*Settings!$B$16,($D97*Settings!$B$15)+($E97*Settings!$B$16))))</x:f>
      </x:c>
    </x:row>
    <x:row r="98">
      <x:c r="A98" s="10" t="n"/>
      <x:c r="B98" s="10" t="n"/>
      <x:c r="C98" s="9">
        <x:f>IF($A98="","",IFERROR(INDEX(Results!$E$6:$E$500,MATCH($A98,Results!$A$6:$A$500,0)),""))</x:f>
      </x:c>
      <x:c r="D98" s="14">
        <x:f>IF($A98="","",IF(Settings!$B$8="Yes",IF($C98="Yes",SUMIFS(Questionnaire_Answers!$I$6:$I$505,Questionnaire_Answers!$A$6:$A$505,$A98,Questionnaire_Answers!$B$6:$B$505,$B98),0),SUMIFS(Questionnaire_Answers!$I$6:$I$505,Questionnaire_Answers!$A$6:$A$505,$A98,Questionnaire_Answers!$B$6:$B$505,$B98)))</x:f>
      </x:c>
      <x:c r="E98" s="14">
        <x:f>IF($A98="","",SUMIFS(Picks!$H$6:$H$505,Picks!$A$6:$A$505,$A98,Picks!$B$6:$B$505,$B98))</x:f>
      </x:c>
      <x:c r="F98" s="14">
        <x:f>IF($A98="","",IF(Settings!$B$7="Questionnaire",$D98*Settings!$B$15,IF(Settings!$B$7="Picks",$E98*Settings!$B$16,($D98*Settings!$B$15)+($E98*Settings!$B$16))))</x:f>
      </x:c>
    </x:row>
    <x:row r="99">
      <x:c r="A99" s="10" t="n"/>
      <x:c r="B99" s="10" t="n"/>
      <x:c r="C99" s="9">
        <x:f>IF($A99="","",IFERROR(INDEX(Results!$E$6:$E$500,MATCH($A99,Results!$A$6:$A$500,0)),""))</x:f>
      </x:c>
      <x:c r="D99" s="14">
        <x:f>IF($A99="","",IF(Settings!$B$8="Yes",IF($C99="Yes",SUMIFS(Questionnaire_Answers!$I$6:$I$505,Questionnaire_Answers!$A$6:$A$505,$A99,Questionnaire_Answers!$B$6:$B$505,$B99),0),SUMIFS(Questionnaire_Answers!$I$6:$I$505,Questionnaire_Answers!$A$6:$A$505,$A99,Questionnaire_Answers!$B$6:$B$505,$B99)))</x:f>
      </x:c>
      <x:c r="E99" s="14">
        <x:f>IF($A99="","",SUMIFS(Picks!$H$6:$H$505,Picks!$A$6:$A$505,$A99,Picks!$B$6:$B$505,$B99))</x:f>
      </x:c>
      <x:c r="F99" s="14">
        <x:f>IF($A99="","",IF(Settings!$B$7="Questionnaire",$D99*Settings!$B$15,IF(Settings!$B$7="Picks",$E99*Settings!$B$16,($D99*Settings!$B$15)+($E99*Settings!$B$16))))</x:f>
      </x:c>
    </x:row>
    <x:row r="100">
      <x:c r="A100" s="10" t="n"/>
      <x:c r="B100" s="10" t="n"/>
      <x:c r="C100" s="9">
        <x:f>IF($A100="","",IFERROR(INDEX(Results!$E$6:$E$500,MATCH($A100,Results!$A$6:$A$500,0)),""))</x:f>
      </x:c>
      <x:c r="D100" s="14">
        <x:f>IF($A100="","",IF(Settings!$B$8="Yes",IF($C100="Yes",SUMIFS(Questionnaire_Answers!$I$6:$I$505,Questionnaire_Answers!$A$6:$A$505,$A100,Questionnaire_Answers!$B$6:$B$505,$B100),0),SUMIFS(Questionnaire_Answers!$I$6:$I$505,Questionnaire_Answers!$A$6:$A$505,$A100,Questionnaire_Answers!$B$6:$B$505,$B100)))</x:f>
      </x:c>
      <x:c r="E100" s="14">
        <x:f>IF($A100="","",SUMIFS(Picks!$H$6:$H$505,Picks!$A$6:$A$505,$A100,Picks!$B$6:$B$505,$B100))</x:f>
      </x:c>
      <x:c r="F100" s="14">
        <x:f>IF($A100="","",IF(Settings!$B$7="Questionnaire",$D100*Settings!$B$15,IF(Settings!$B$7="Picks",$E100*Settings!$B$16,($D100*Settings!$B$15)+($E100*Settings!$B$16))))</x:f>
      </x:c>
    </x:row>
    <x:row r="101">
      <x:c r="A101" s="10" t="n"/>
      <x:c r="B101" s="10" t="n"/>
      <x:c r="C101" s="9">
        <x:f>IF($A101="","",IFERROR(INDEX(Results!$E$6:$E$500,MATCH($A101,Results!$A$6:$A$500,0)),""))</x:f>
      </x:c>
      <x:c r="D101" s="14">
        <x:f>IF($A101="","",IF(Settings!$B$8="Yes",IF($C101="Yes",SUMIFS(Questionnaire_Answers!$I$6:$I$505,Questionnaire_Answers!$A$6:$A$505,$A101,Questionnaire_Answers!$B$6:$B$505,$B101),0),SUMIFS(Questionnaire_Answers!$I$6:$I$505,Questionnaire_Answers!$A$6:$A$505,$A101,Questionnaire_Answers!$B$6:$B$505,$B101)))</x:f>
      </x:c>
      <x:c r="E101" s="14">
        <x:f>IF($A101="","",SUMIFS(Picks!$H$6:$H$505,Picks!$A$6:$A$505,$A101,Picks!$B$6:$B$505,$B101))</x:f>
      </x:c>
      <x:c r="F101" s="14">
        <x:f>IF($A101="","",IF(Settings!$B$7="Questionnaire",$D101*Settings!$B$15,IF(Settings!$B$7="Picks",$E101*Settings!$B$16,($D101*Settings!$B$15)+($E101*Settings!$B$16))))</x:f>
      </x:c>
    </x:row>
    <x:row r="102">
      <x:c r="A102" s="10" t="n"/>
      <x:c r="B102" s="10" t="n"/>
      <x:c r="C102" s="9">
        <x:f>IF($A102="","",IFERROR(INDEX(Results!$E$6:$E$500,MATCH($A102,Results!$A$6:$A$500,0)),""))</x:f>
      </x:c>
      <x:c r="D102" s="14">
        <x:f>IF($A102="","",IF(Settings!$B$8="Yes",IF($C102="Yes",SUMIFS(Questionnaire_Answers!$I$6:$I$505,Questionnaire_Answers!$A$6:$A$505,$A102,Questionnaire_Answers!$B$6:$B$505,$B102),0),SUMIFS(Questionnaire_Answers!$I$6:$I$505,Questionnaire_Answers!$A$6:$A$505,$A102,Questionnaire_Answers!$B$6:$B$505,$B102)))</x:f>
      </x:c>
      <x:c r="E102" s="14">
        <x:f>IF($A102="","",SUMIFS(Picks!$H$6:$H$505,Picks!$A$6:$A$505,$A102,Picks!$B$6:$B$505,$B102))</x:f>
      </x:c>
      <x:c r="F102" s="14">
        <x:f>IF($A102="","",IF(Settings!$B$7="Questionnaire",$D102*Settings!$B$15,IF(Settings!$B$7="Picks",$E102*Settings!$B$16,($D102*Settings!$B$15)+($E102*Settings!$B$16))))</x:f>
      </x:c>
    </x:row>
    <x:row r="103">
      <x:c r="A103" s="10" t="n"/>
      <x:c r="B103" s="10" t="n"/>
      <x:c r="C103" s="9">
        <x:f>IF($A103="","",IFERROR(INDEX(Results!$E$6:$E$500,MATCH($A103,Results!$A$6:$A$500,0)),""))</x:f>
      </x:c>
      <x:c r="D103" s="14">
        <x:f>IF($A103="","",IF(Settings!$B$8="Yes",IF($C103="Yes",SUMIFS(Questionnaire_Answers!$I$6:$I$505,Questionnaire_Answers!$A$6:$A$505,$A103,Questionnaire_Answers!$B$6:$B$505,$B103),0),SUMIFS(Questionnaire_Answers!$I$6:$I$505,Questionnaire_Answers!$A$6:$A$505,$A103,Questionnaire_Answers!$B$6:$B$505,$B103)))</x:f>
      </x:c>
      <x:c r="E103" s="14">
        <x:f>IF($A103="","",SUMIFS(Picks!$H$6:$H$505,Picks!$A$6:$A$505,$A103,Picks!$B$6:$B$505,$B103))</x:f>
      </x:c>
      <x:c r="F103" s="14">
        <x:f>IF($A103="","",IF(Settings!$B$7="Questionnaire",$D103*Settings!$B$15,IF(Settings!$B$7="Picks",$E103*Settings!$B$16,($D103*Settings!$B$15)+($E103*Settings!$B$16))))</x:f>
      </x:c>
    </x:row>
    <x:row r="104">
      <x:c r="A104" s="10" t="n"/>
      <x:c r="B104" s="10" t="n"/>
      <x:c r="C104" s="9">
        <x:f>IF($A104="","",IFERROR(INDEX(Results!$E$6:$E$500,MATCH($A104,Results!$A$6:$A$500,0)),""))</x:f>
      </x:c>
      <x:c r="D104" s="14">
        <x:f>IF($A104="","",IF(Settings!$B$8="Yes",IF($C104="Yes",SUMIFS(Questionnaire_Answers!$I$6:$I$505,Questionnaire_Answers!$A$6:$A$505,$A104,Questionnaire_Answers!$B$6:$B$505,$B104),0),SUMIFS(Questionnaire_Answers!$I$6:$I$505,Questionnaire_Answers!$A$6:$A$505,$A104,Questionnaire_Answers!$B$6:$B$505,$B104)))</x:f>
      </x:c>
      <x:c r="E104" s="14">
        <x:f>IF($A104="","",SUMIFS(Picks!$H$6:$H$505,Picks!$A$6:$A$505,$A104,Picks!$B$6:$B$505,$B104))</x:f>
      </x:c>
      <x:c r="F104" s="14">
        <x:f>IF($A104="","",IF(Settings!$B$7="Questionnaire",$D104*Settings!$B$15,IF(Settings!$B$7="Picks",$E104*Settings!$B$16,($D104*Settings!$B$15)+($E104*Settings!$B$16))))</x:f>
      </x:c>
    </x:row>
    <x:row r="105">
      <x:c r="A105" s="10" t="n"/>
      <x:c r="B105" s="10" t="n"/>
      <x:c r="C105" s="9">
        <x:f>IF($A105="","",IFERROR(INDEX(Results!$E$6:$E$500,MATCH($A105,Results!$A$6:$A$500,0)),""))</x:f>
      </x:c>
      <x:c r="D105" s="14">
        <x:f>IF($A105="","",IF(Settings!$B$8="Yes",IF($C105="Yes",SUMIFS(Questionnaire_Answers!$I$6:$I$505,Questionnaire_Answers!$A$6:$A$505,$A105,Questionnaire_Answers!$B$6:$B$505,$B105),0),SUMIFS(Questionnaire_Answers!$I$6:$I$505,Questionnaire_Answers!$A$6:$A$505,$A105,Questionnaire_Answers!$B$6:$B$505,$B105)))</x:f>
      </x:c>
      <x:c r="E105" s="14">
        <x:f>IF($A105="","",SUMIFS(Picks!$H$6:$H$505,Picks!$A$6:$A$505,$A105,Picks!$B$6:$B$505,$B105))</x:f>
      </x:c>
      <x:c r="F105" s="14">
        <x:f>IF($A105="","",IF(Settings!$B$7="Questionnaire",$D105*Settings!$B$15,IF(Settings!$B$7="Picks",$E105*Settings!$B$16,($D105*Settings!$B$15)+($E105*Settings!$B$16))))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4" customWidth="1"/>
    <x:col min="3" max="3" width="20" customWidth="1"/>
    <x:col min="4" max="4" width="14" customWidth="1"/>
    <x:col min="5" max="5" width="14" customWidth="1"/>
  </x:cols>
  <x:sheetData>
    <x:row r="1">
      <x:c r="A1" s="1" t="inlineStr">
        <x:is>
          <x:t xml:space="preserve">Leaderboard</x:t>
        </x:is>
      </x:c>
    </x:row>
    <x:row r="3">
      <x:c r="A3" s="8" t="inlineStr">
        <x:is>
          <x:t xml:space="preserve">Enter players/users in column A. Totals will compute from Game_Scores.</x:t>
        </x:is>
      </x:c>
    </x:row>
    <x:row r="5" ht="22" customHeight="1">
      <x:c r="A5" s="5" t="inlineStr">
        <x:is>
          <x:t xml:space="preserve">User</x:t>
        </x:is>
      </x:c>
      <x:c r="B5" s="5" t="inlineStr">
        <x:is>
          <x:t xml:space="preserve">Games Scored</x:t>
        </x:is>
      </x:c>
      <x:c r="C5" s="5" t="inlineStr">
        <x:is>
          <x:t xml:space="preserve">Questionnaire Total</x:t>
        </x:is>
      </x:c>
      <x:c r="D5" s="5" t="inlineStr">
        <x:is>
          <x:t xml:space="preserve">Picks Total</x:t>
        </x:is>
      </x:c>
      <x:c r="E5" s="5" t="inlineStr">
        <x:is>
          <x:t xml:space="preserve">Total Points</x:t>
        </x:is>
      </x:c>
    </x:row>
    <x:row r="6">
      <x:c r="A6" s="11" t="n"/>
      <x:c r="B6" s="9">
        <x:f>IF($A6="","",COUNTIF(Game_Scores!$B$6:$B$505,$A6))</x:f>
      </x:c>
      <x:c r="C6" s="14">
        <x:f>IF($A6="","",SUMIF(Game_Scores!$B$6:$B$505,$A6,Game_Scores!$D$6:$D$505))</x:f>
      </x:c>
      <x:c r="D6" s="14">
        <x:f>IF($A6="","",SUMIF(Game_Scores!$B$6:$B$505,$A6,Game_Scores!$E$6:$E$505))</x:f>
      </x:c>
      <x:c r="E6" s="14">
        <x:f>IF($A6="","",SUMIF(Game_Scores!$B$6:$B$505,$A6,Game_Scores!$F$6:$F$505))</x:f>
      </x:c>
    </x:row>
    <x:row r="7">
      <x:c r="A7" s="11" t="n"/>
      <x:c r="B7" s="9">
        <x:f>IF($A7="","",COUNTIF(Game_Scores!$B$6:$B$505,$A7))</x:f>
      </x:c>
      <x:c r="C7" s="14">
        <x:f>IF($A7="","",SUMIF(Game_Scores!$B$6:$B$505,$A7,Game_Scores!$D$6:$D$505))</x:f>
      </x:c>
      <x:c r="D7" s="14">
        <x:f>IF($A7="","",SUMIF(Game_Scores!$B$6:$B$505,$A7,Game_Scores!$E$6:$E$505))</x:f>
      </x:c>
      <x:c r="E7" s="14">
        <x:f>IF($A7="","",SUMIF(Game_Scores!$B$6:$B$505,$A7,Game_Scores!$F$6:$F$505))</x:f>
      </x:c>
    </x:row>
    <x:row r="8">
      <x:c r="A8" s="11" t="n"/>
      <x:c r="B8" s="9">
        <x:f>IF($A8="","",COUNTIF(Game_Scores!$B$6:$B$505,$A8))</x:f>
      </x:c>
      <x:c r="C8" s="14">
        <x:f>IF($A8="","",SUMIF(Game_Scores!$B$6:$B$505,$A8,Game_Scores!$D$6:$D$505))</x:f>
      </x:c>
      <x:c r="D8" s="14">
        <x:f>IF($A8="","",SUMIF(Game_Scores!$B$6:$B$505,$A8,Game_Scores!$E$6:$E$505))</x:f>
      </x:c>
      <x:c r="E8" s="14">
        <x:f>IF($A8="","",SUMIF(Game_Scores!$B$6:$B$505,$A8,Game_Scores!$F$6:$F$505))</x:f>
      </x:c>
    </x:row>
    <x:row r="9">
      <x:c r="A9" s="11" t="n"/>
      <x:c r="B9" s="9">
        <x:f>IF($A9="","",COUNTIF(Game_Scores!$B$6:$B$505,$A9))</x:f>
      </x:c>
      <x:c r="C9" s="14">
        <x:f>IF($A9="","",SUMIF(Game_Scores!$B$6:$B$505,$A9,Game_Scores!$D$6:$D$505))</x:f>
      </x:c>
      <x:c r="D9" s="14">
        <x:f>IF($A9="","",SUMIF(Game_Scores!$B$6:$B$505,$A9,Game_Scores!$E$6:$E$505))</x:f>
      </x:c>
      <x:c r="E9" s="14">
        <x:f>IF($A9="","",SUMIF(Game_Scores!$B$6:$B$505,$A9,Game_Scores!$F$6:$F$505))</x:f>
      </x:c>
    </x:row>
    <x:row r="10">
      <x:c r="A10" s="11" t="n"/>
      <x:c r="B10" s="9">
        <x:f>IF($A10="","",COUNTIF(Game_Scores!$B$6:$B$505,$A10))</x:f>
      </x:c>
      <x:c r="C10" s="14">
        <x:f>IF($A10="","",SUMIF(Game_Scores!$B$6:$B$505,$A10,Game_Scores!$D$6:$D$505))</x:f>
      </x:c>
      <x:c r="D10" s="14">
        <x:f>IF($A10="","",SUMIF(Game_Scores!$B$6:$B$505,$A10,Game_Scores!$E$6:$E$505))</x:f>
      </x:c>
      <x:c r="E10" s="14">
        <x:f>IF($A10="","",SUMIF(Game_Scores!$B$6:$B$505,$A10,Game_Scores!$F$6:$F$505))</x:f>
      </x:c>
    </x:row>
    <x:row r="11">
      <x:c r="A11" s="11" t="n"/>
      <x:c r="B11" s="9">
        <x:f>IF($A11="","",COUNTIF(Game_Scores!$B$6:$B$505,$A11))</x:f>
      </x:c>
      <x:c r="C11" s="14">
        <x:f>IF($A11="","",SUMIF(Game_Scores!$B$6:$B$505,$A11,Game_Scores!$D$6:$D$505))</x:f>
      </x:c>
      <x:c r="D11" s="14">
        <x:f>IF($A11="","",SUMIF(Game_Scores!$B$6:$B$505,$A11,Game_Scores!$E$6:$E$505))</x:f>
      </x:c>
      <x:c r="E11" s="14">
        <x:f>IF($A11="","",SUMIF(Game_Scores!$B$6:$B$505,$A11,Game_Scores!$F$6:$F$505))</x:f>
      </x:c>
    </x:row>
    <x:row r="12">
      <x:c r="A12" s="11" t="n"/>
      <x:c r="B12" s="9">
        <x:f>IF($A12="","",COUNTIF(Game_Scores!$B$6:$B$505,$A12))</x:f>
      </x:c>
      <x:c r="C12" s="14">
        <x:f>IF($A12="","",SUMIF(Game_Scores!$B$6:$B$505,$A12,Game_Scores!$D$6:$D$505))</x:f>
      </x:c>
      <x:c r="D12" s="14">
        <x:f>IF($A12="","",SUMIF(Game_Scores!$B$6:$B$505,$A12,Game_Scores!$E$6:$E$505))</x:f>
      </x:c>
      <x:c r="E12" s="14">
        <x:f>IF($A12="","",SUMIF(Game_Scores!$B$6:$B$505,$A12,Game_Scores!$F$6:$F$505))</x:f>
      </x:c>
    </x:row>
    <x:row r="13">
      <x:c r="A13" s="11" t="n"/>
      <x:c r="B13" s="9">
        <x:f>IF($A13="","",COUNTIF(Game_Scores!$B$6:$B$505,$A13))</x:f>
      </x:c>
      <x:c r="C13" s="14">
        <x:f>IF($A13="","",SUMIF(Game_Scores!$B$6:$B$505,$A13,Game_Scores!$D$6:$D$505))</x:f>
      </x:c>
      <x:c r="D13" s="14">
        <x:f>IF($A13="","",SUMIF(Game_Scores!$B$6:$B$505,$A13,Game_Scores!$E$6:$E$505))</x:f>
      </x:c>
      <x:c r="E13" s="14">
        <x:f>IF($A13="","",SUMIF(Game_Scores!$B$6:$B$505,$A13,Game_Scores!$F$6:$F$505))</x:f>
      </x:c>
    </x:row>
    <x:row r="14">
      <x:c r="A14" s="11" t="n"/>
      <x:c r="B14" s="9">
        <x:f>IF($A14="","",COUNTIF(Game_Scores!$B$6:$B$505,$A14))</x:f>
      </x:c>
      <x:c r="C14" s="14">
        <x:f>IF($A14="","",SUMIF(Game_Scores!$B$6:$B$505,$A14,Game_Scores!$D$6:$D$505))</x:f>
      </x:c>
      <x:c r="D14" s="14">
        <x:f>IF($A14="","",SUMIF(Game_Scores!$B$6:$B$505,$A14,Game_Scores!$E$6:$E$505))</x:f>
      </x:c>
      <x:c r="E14" s="14">
        <x:f>IF($A14="","",SUMIF(Game_Scores!$B$6:$B$505,$A14,Game_Scores!$F$6:$F$505))</x:f>
      </x:c>
    </x:row>
    <x:row r="15">
      <x:c r="A15" s="11" t="n"/>
      <x:c r="B15" s="9">
        <x:f>IF($A15="","",COUNTIF(Game_Scores!$B$6:$B$505,$A15))</x:f>
      </x:c>
      <x:c r="C15" s="14">
        <x:f>IF($A15="","",SUMIF(Game_Scores!$B$6:$B$505,$A15,Game_Scores!$D$6:$D$505))</x:f>
      </x:c>
      <x:c r="D15" s="14">
        <x:f>IF($A15="","",SUMIF(Game_Scores!$B$6:$B$505,$A15,Game_Scores!$E$6:$E$505))</x:f>
      </x:c>
      <x:c r="E15" s="14">
        <x:f>IF($A15="","",SUMIF(Game_Scores!$B$6:$B$505,$A15,Game_Scores!$F$6:$F$505))</x:f>
      </x:c>
    </x:row>
    <x:row r="16">
      <x:c r="A16" s="11" t="n"/>
      <x:c r="B16" s="9">
        <x:f>IF($A16="","",COUNTIF(Game_Scores!$B$6:$B$505,$A16))</x:f>
      </x:c>
      <x:c r="C16" s="14">
        <x:f>IF($A16="","",SUMIF(Game_Scores!$B$6:$B$505,$A16,Game_Scores!$D$6:$D$505))</x:f>
      </x:c>
      <x:c r="D16" s="14">
        <x:f>IF($A16="","",SUMIF(Game_Scores!$B$6:$B$505,$A16,Game_Scores!$E$6:$E$505))</x:f>
      </x:c>
      <x:c r="E16" s="14">
        <x:f>IF($A16="","",SUMIF(Game_Scores!$B$6:$B$505,$A16,Game_Scores!$F$6:$F$505))</x:f>
      </x:c>
    </x:row>
    <x:row r="17">
      <x:c r="A17" s="11" t="n"/>
      <x:c r="B17" s="9">
        <x:f>IF($A17="","",COUNTIF(Game_Scores!$B$6:$B$505,$A17))</x:f>
      </x:c>
      <x:c r="C17" s="14">
        <x:f>IF($A17="","",SUMIF(Game_Scores!$B$6:$B$505,$A17,Game_Scores!$D$6:$D$505))</x:f>
      </x:c>
      <x:c r="D17" s="14">
        <x:f>IF($A17="","",SUMIF(Game_Scores!$B$6:$B$505,$A17,Game_Scores!$E$6:$E$505))</x:f>
      </x:c>
      <x:c r="E17" s="14">
        <x:f>IF($A17="","",SUMIF(Game_Scores!$B$6:$B$505,$A17,Game_Scores!$F$6:$F$505))</x:f>
      </x:c>
    </x:row>
    <x:row r="18">
      <x:c r="A18" s="11" t="n"/>
      <x:c r="B18" s="9">
        <x:f>IF($A18="","",COUNTIF(Game_Scores!$B$6:$B$505,$A18))</x:f>
      </x:c>
      <x:c r="C18" s="14">
        <x:f>IF($A18="","",SUMIF(Game_Scores!$B$6:$B$505,$A18,Game_Scores!$D$6:$D$505))</x:f>
      </x:c>
      <x:c r="D18" s="14">
        <x:f>IF($A18="","",SUMIF(Game_Scores!$B$6:$B$505,$A18,Game_Scores!$E$6:$E$505))</x:f>
      </x:c>
      <x:c r="E18" s="14">
        <x:f>IF($A18="","",SUMIF(Game_Scores!$B$6:$B$505,$A18,Game_Scores!$F$6:$F$505))</x:f>
      </x:c>
    </x:row>
    <x:row r="19">
      <x:c r="A19" s="11" t="n"/>
      <x:c r="B19" s="9">
        <x:f>IF($A19="","",COUNTIF(Game_Scores!$B$6:$B$505,$A19))</x:f>
      </x:c>
      <x:c r="C19" s="14">
        <x:f>IF($A19="","",SUMIF(Game_Scores!$B$6:$B$505,$A19,Game_Scores!$D$6:$D$505))</x:f>
      </x:c>
      <x:c r="D19" s="14">
        <x:f>IF($A19="","",SUMIF(Game_Scores!$B$6:$B$505,$A19,Game_Scores!$E$6:$E$505))</x:f>
      </x:c>
      <x:c r="E19" s="14">
        <x:f>IF($A19="","",SUMIF(Game_Scores!$B$6:$B$505,$A19,Game_Scores!$F$6:$F$505))</x:f>
      </x:c>
    </x:row>
    <x:row r="20">
      <x:c r="A20" s="11" t="n"/>
      <x:c r="B20" s="9">
        <x:f>IF($A20="","",COUNTIF(Game_Scores!$B$6:$B$505,$A20))</x:f>
      </x:c>
      <x:c r="C20" s="14">
        <x:f>IF($A20="","",SUMIF(Game_Scores!$B$6:$B$505,$A20,Game_Scores!$D$6:$D$505))</x:f>
      </x:c>
      <x:c r="D20" s="14">
        <x:f>IF($A20="","",SUMIF(Game_Scores!$B$6:$B$505,$A20,Game_Scores!$E$6:$E$505))</x:f>
      </x:c>
      <x:c r="E20" s="14">
        <x:f>IF($A20="","",SUMIF(Game_Scores!$B$6:$B$505,$A20,Game_Scores!$F$6:$F$505))</x:f>
      </x:c>
    </x:row>
    <x:row r="21">
      <x:c r="A21" s="11" t="n"/>
      <x:c r="B21" s="9">
        <x:f>IF($A21="","",COUNTIF(Game_Scores!$B$6:$B$505,$A21))</x:f>
      </x:c>
      <x:c r="C21" s="14">
        <x:f>IF($A21="","",SUMIF(Game_Scores!$B$6:$B$505,$A21,Game_Scores!$D$6:$D$505))</x:f>
      </x:c>
      <x:c r="D21" s="14">
        <x:f>IF($A21="","",SUMIF(Game_Scores!$B$6:$B$505,$A21,Game_Scores!$E$6:$E$505))</x:f>
      </x:c>
      <x:c r="E21" s="14">
        <x:f>IF($A21="","",SUMIF(Game_Scores!$B$6:$B$505,$A21,Game_Scores!$F$6:$F$505))</x:f>
      </x:c>
    </x:row>
    <x:row r="22">
      <x:c r="A22" s="11" t="n"/>
      <x:c r="B22" s="9">
        <x:f>IF($A22="","",COUNTIF(Game_Scores!$B$6:$B$505,$A22))</x:f>
      </x:c>
      <x:c r="C22" s="14">
        <x:f>IF($A22="","",SUMIF(Game_Scores!$B$6:$B$505,$A22,Game_Scores!$D$6:$D$505))</x:f>
      </x:c>
      <x:c r="D22" s="14">
        <x:f>IF($A22="","",SUMIF(Game_Scores!$B$6:$B$505,$A22,Game_Scores!$E$6:$E$505))</x:f>
      </x:c>
      <x:c r="E22" s="14">
        <x:f>IF($A22="","",SUMIF(Game_Scores!$B$6:$B$505,$A22,Game_Scores!$F$6:$F$505))</x:f>
      </x:c>
    </x:row>
    <x:row r="23">
      <x:c r="A23" s="11" t="n"/>
      <x:c r="B23" s="9">
        <x:f>IF($A23="","",COUNTIF(Game_Scores!$B$6:$B$505,$A23))</x:f>
      </x:c>
      <x:c r="C23" s="14">
        <x:f>IF($A23="","",SUMIF(Game_Scores!$B$6:$B$505,$A23,Game_Scores!$D$6:$D$505))</x:f>
      </x:c>
      <x:c r="D23" s="14">
        <x:f>IF($A23="","",SUMIF(Game_Scores!$B$6:$B$505,$A23,Game_Scores!$E$6:$E$505))</x:f>
      </x:c>
      <x:c r="E23" s="14">
        <x:f>IF($A23="","",SUMIF(Game_Scores!$B$6:$B$505,$A23,Game_Scores!$F$6:$F$505))</x:f>
      </x:c>
    </x:row>
    <x:row r="24">
      <x:c r="A24" s="11" t="n"/>
      <x:c r="B24" s="9">
        <x:f>IF($A24="","",COUNTIF(Game_Scores!$B$6:$B$505,$A24))</x:f>
      </x:c>
      <x:c r="C24" s="14">
        <x:f>IF($A24="","",SUMIF(Game_Scores!$B$6:$B$505,$A24,Game_Scores!$D$6:$D$505))</x:f>
      </x:c>
      <x:c r="D24" s="14">
        <x:f>IF($A24="","",SUMIF(Game_Scores!$B$6:$B$505,$A24,Game_Scores!$E$6:$E$505))</x:f>
      </x:c>
      <x:c r="E24" s="14">
        <x:f>IF($A24="","",SUMIF(Game_Scores!$B$6:$B$505,$A24,Game_Scores!$F$6:$F$505))</x:f>
      </x:c>
    </x:row>
    <x:row r="25">
      <x:c r="A25" s="11" t="n"/>
      <x:c r="B25" s="9">
        <x:f>IF($A25="","",COUNTIF(Game_Scores!$B$6:$B$505,$A25))</x:f>
      </x:c>
      <x:c r="C25" s="14">
        <x:f>IF($A25="","",SUMIF(Game_Scores!$B$6:$B$505,$A25,Game_Scores!$D$6:$D$505))</x:f>
      </x:c>
      <x:c r="D25" s="14">
        <x:f>IF($A25="","",SUMIF(Game_Scores!$B$6:$B$505,$A25,Game_Scores!$E$6:$E$505))</x:f>
      </x:c>
      <x:c r="E25" s="14">
        <x:f>IF($A25="","",SUMIF(Game_Scores!$B$6:$B$505,$A25,Game_Scores!$F$6:$F$505))</x:f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1" t="inlineStr">
        <x:is>
          <x:t xml:space="preserve">Import / API Placeholder</x:t>
        </x:is>
      </x:c>
    </x:row>
    <x:row r="3">
      <x:c r="A3" s="8" t="inlineStr">
        <x:is>
          <x:t xml:space="preserve">If you later automate (Python/Node), write game &amp; player stats into Results and Player_Stats.</x:t>
        </x:is>
      </x:c>
    </x:row>
    <x:row r="5">
      <x:c r="A5" s="2" t="inlineStr">
        <x:is>
          <x:t xml:space="preserve">Suggested workflow:</x:t>
        </x:is>
      </x:c>
    </x:row>
    <x:row r="6">
      <x:c r="A6" s="3" t="inlineStr">
        <x:is>
          <x:t xml:space="preserve">• Use an MLB stats provider API to pull scheduled games, box scores, and player game logs.</x:t>
        </x:is>
      </x:c>
    </x:row>
    <x:row r="7">
      <x:c r="A7" s="3" t="inlineStr">
        <x:is>
          <x:t xml:space="preserve">• Map each game to your GameID (same format used in Games/Results).</x:t>
        </x:is>
      </x:c>
    </x:row>
    <x:row r="8">
      <x:c r="A8" s="3" t="inlineStr">
        <x:is>
          <x:t xml:space="preserve">• Write team totals and SP lines into Results.</x:t>
        </x:is>
      </x:c>
    </x:row>
    <x:row r="9">
      <x:c r="A9" s="3" t="inlineStr">
        <x:is>
          <x:t xml:space="preserve">• Write per-player batting/pitching lines into Player_Stats.</x:t>
        </x:is>
      </x:c>
    </x:row>
    <x:row r="10">
      <x:c r="A10" s="3" t="inlineStr">
        <x:is>
          <x:t xml:space="preserve">• Refresh the workbook to update scores.</x:t>
        </x:is>
      </x:c>
    </x:row>
  </x:sheetData>
  <x:pageMargins left="0.7" right="0.7" top="0.75" bottom="0.75" header="0.3" footer="0.3"/>
</x:worksheet>
</file>